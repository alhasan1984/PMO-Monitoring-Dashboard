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cle-my.sharepoint.com/personal/ali_omar_hasan_oracle_com/Documents/Automation/"/>
    </mc:Choice>
  </mc:AlternateContent>
  <xr:revisionPtr revIDLastSave="60" documentId="8_{37F02E68-EEC0-4D96-AF13-435519BEC167}" xr6:coauthVersionLast="47" xr6:coauthVersionMax="47" xr10:uidLastSave="{27734C96-0959-4DAF-83CC-E618C831BA8A}"/>
  <bookViews>
    <workbookView xWindow="-110" yWindow="-110" windowWidth="19420" windowHeight="11500" tabRatio="298" xr2:uid="{70F6A87E-2C83-4BDE-8AE3-41B52296CA50}"/>
  </bookViews>
  <sheets>
    <sheet name="Master" sheetId="1" r:id="rId1"/>
    <sheet name="Projects TimeSheet" sheetId="2" r:id="rId2"/>
    <sheet name="Milestones" sheetId="4" r:id="rId3"/>
    <sheet name="PIC" sheetId="3" r:id="rId4"/>
  </sheets>
  <definedNames>
    <definedName name="AK">Master!$CD$2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3" i="1" l="1"/>
  <c r="CG13" i="1"/>
  <c r="Y18" i="1"/>
  <c r="AB18" i="1"/>
  <c r="AE18" i="1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I21" i="1" l="1"/>
  <c r="E44" i="4"/>
  <c r="E45" i="4"/>
  <c r="E46" i="4"/>
  <c r="E47" i="4"/>
  <c r="E48" i="4"/>
  <c r="E50" i="4"/>
  <c r="E51" i="4"/>
  <c r="D29" i="4"/>
  <c r="E29" i="4"/>
  <c r="D30" i="4"/>
  <c r="E30" i="4"/>
  <c r="D31" i="4"/>
  <c r="E31" i="4"/>
  <c r="D32" i="4"/>
  <c r="E32" i="4"/>
  <c r="D33" i="4"/>
  <c r="E33" i="4"/>
  <c r="F34" i="4"/>
  <c r="D34" i="4" s="1"/>
  <c r="F35" i="4"/>
  <c r="D35" i="4" s="1"/>
  <c r="F36" i="4"/>
  <c r="D36" i="4" s="1"/>
  <c r="F37" i="4"/>
  <c r="D37" i="4" s="1"/>
  <c r="F38" i="4"/>
  <c r="D38" i="4" s="1"/>
  <c r="F39" i="4"/>
  <c r="D39" i="4" s="1"/>
  <c r="F40" i="4"/>
  <c r="D40" i="4" s="1"/>
  <c r="F41" i="4"/>
  <c r="D41" i="4" s="1"/>
  <c r="F42" i="4"/>
  <c r="D42" i="4" s="1"/>
  <c r="F43" i="4"/>
  <c r="D43" i="4" s="1"/>
  <c r="F44" i="4"/>
  <c r="D44" i="4" s="1"/>
  <c r="F45" i="4"/>
  <c r="D45" i="4" s="1"/>
  <c r="F46" i="4"/>
  <c r="D46" i="4" s="1"/>
  <c r="F47" i="4"/>
  <c r="D47" i="4" s="1"/>
  <c r="F48" i="4"/>
  <c r="D48" i="4" s="1"/>
  <c r="F49" i="4"/>
  <c r="D49" i="4" s="1"/>
  <c r="F50" i="4"/>
  <c r="D50" i="4" s="1"/>
  <c r="F51" i="4"/>
  <c r="D51" i="4" s="1"/>
  <c r="F52" i="4"/>
  <c r="E52" i="4" s="1"/>
  <c r="D28" i="4"/>
  <c r="E28" i="4"/>
  <c r="AJ16" i="1"/>
  <c r="AI16" i="1"/>
  <c r="AH16" i="1"/>
  <c r="BW16" i="1"/>
  <c r="BV16" i="1"/>
  <c r="BU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AT16" i="1"/>
  <c r="AU16" i="1"/>
  <c r="AV16" i="1"/>
  <c r="AQ16" i="1"/>
  <c r="AR16" i="1"/>
  <c r="AS16" i="1"/>
  <c r="D52" i="4" l="1"/>
  <c r="E42" i="4"/>
  <c r="E43" i="4"/>
  <c r="E38" i="4"/>
  <c r="E41" i="4"/>
  <c r="E40" i="4"/>
  <c r="E39" i="4"/>
  <c r="E37" i="4"/>
  <c r="E36" i="4"/>
  <c r="E35" i="4"/>
  <c r="E49" i="4"/>
  <c r="E34" i="4"/>
  <c r="I16" i="1" l="1"/>
  <c r="E27" i="4" l="1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W11" i="1" l="1"/>
  <c r="S11" i="1"/>
  <c r="I11" i="1"/>
  <c r="W6" i="1" l="1"/>
  <c r="S6" i="1"/>
  <c r="F13" i="4"/>
  <c r="F15" i="4"/>
  <c r="F14" i="4"/>
  <c r="F12" i="4"/>
  <c r="F11" i="4"/>
  <c r="F10" i="4"/>
  <c r="F9" i="4"/>
  <c r="F8" i="4"/>
  <c r="F7" i="4"/>
  <c r="F6" i="4"/>
  <c r="F5" i="4"/>
  <c r="F4" i="4"/>
  <c r="F3" i="4"/>
  <c r="F2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<sst xmlns="http://schemas.openxmlformats.org/spreadsheetml/2006/main" count="1350" uniqueCount="364">
  <si>
    <t>Project Card</t>
  </si>
  <si>
    <t>Type</t>
  </si>
  <si>
    <t>Forecast</t>
  </si>
  <si>
    <t>Actual</t>
  </si>
  <si>
    <t>Project Owner</t>
  </si>
  <si>
    <t>Portfolio Lead</t>
  </si>
  <si>
    <t>Project Number</t>
  </si>
  <si>
    <t>Contract Number</t>
  </si>
  <si>
    <t>Account Number</t>
  </si>
  <si>
    <t>Project Name</t>
  </si>
  <si>
    <t>Customer Logo</t>
  </si>
  <si>
    <t>Project Fund ($)</t>
  </si>
  <si>
    <t>Project Fund (AED)</t>
  </si>
  <si>
    <t>Total Hours (Without Contingency)</t>
  </si>
  <si>
    <t>Total Hours (With Contingency)</t>
  </si>
  <si>
    <t>Overall Rating</t>
  </si>
  <si>
    <t>NB Expenses</t>
  </si>
  <si>
    <t>Orig Bid</t>
  </si>
  <si>
    <t>EAC (Estimate at closure)</t>
  </si>
  <si>
    <t>Quarter</t>
  </si>
  <si>
    <t>Q1-26</t>
  </si>
  <si>
    <t>Q2-26</t>
  </si>
  <si>
    <t>Q3-26</t>
  </si>
  <si>
    <t>Q4-26</t>
  </si>
  <si>
    <t>Q1-27</t>
  </si>
  <si>
    <t>Q2-27</t>
  </si>
  <si>
    <t>Q3-27</t>
  </si>
  <si>
    <t>Q4-27</t>
  </si>
  <si>
    <t>Q1-28</t>
  </si>
  <si>
    <t>Q2-28</t>
  </si>
  <si>
    <t>Q3-28</t>
  </si>
  <si>
    <t>Q4-28</t>
  </si>
  <si>
    <t>Q1-29</t>
  </si>
  <si>
    <t>Q2-29</t>
  </si>
  <si>
    <t>Q3-29</t>
  </si>
  <si>
    <t>Q4-29</t>
  </si>
  <si>
    <t>Q1-30</t>
  </si>
  <si>
    <t>Current Quarter</t>
  </si>
  <si>
    <t>Prevoius Quarter</t>
  </si>
  <si>
    <t>Total Expenses</t>
  </si>
  <si>
    <t>Utilized Expenses</t>
  </si>
  <si>
    <t>Hours</t>
  </si>
  <si>
    <t>Revenue</t>
  </si>
  <si>
    <t>Cost</t>
  </si>
  <si>
    <t>Margin</t>
  </si>
  <si>
    <t>Invoicing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</si>
  <si>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</si>
  <si>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</si>
  <si>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</si>
  <si>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</si>
  <si>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</si>
  <si>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</si>
  <si>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</si>
  <si>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</si>
  <si>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</si>
  <si>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</si>
  <si>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</si>
  <si>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</si>
  <si>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</si>
  <si>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Amr Hossam</t>
  </si>
  <si>
    <t xml:space="preserve">Khaled Selim </t>
  </si>
  <si>
    <t>A7ZNQZ_ FP_TECH TAQA Fusion Analytics Accelerator CLOUD</t>
  </si>
  <si>
    <t>Manal Mourad</t>
  </si>
  <si>
    <t>A8XQVP_FP_Solution+_Workload Migration</t>
  </si>
  <si>
    <t>Omar Hefnawy</t>
  </si>
  <si>
    <t xml:space="preserve">Ali Omar </t>
  </si>
  <si>
    <t>A8YLGG_FP_COMBO_CSS_OMANTEL_Workload Mig</t>
  </si>
  <si>
    <t xml:space="preserve">37,865	</t>
  </si>
  <si>
    <t xml:space="preserve">Amr Abbasy </t>
  </si>
  <si>
    <t>A7XFJB_ FP TECH E &amp; Enterprise Cloud - Sole Proprietorship LLC-Alloy CLOUD</t>
  </si>
  <si>
    <t xml:space="preserve">1,820,651	</t>
  </si>
  <si>
    <t>Sum of Quantity</t>
  </si>
  <si>
    <t>Column Labels</t>
  </si>
  <si>
    <t>Jun Total</t>
  </si>
  <si>
    <t>Jul Total</t>
  </si>
  <si>
    <t>Aug Total</t>
  </si>
  <si>
    <t>Grand Total</t>
  </si>
  <si>
    <t>05-Jun</t>
  </si>
  <si>
    <t>12-Jun</t>
  </si>
  <si>
    <t>19-Jun</t>
  </si>
  <si>
    <t>26-Jun</t>
  </si>
  <si>
    <t>03-Jul</t>
  </si>
  <si>
    <t>10-Jul</t>
  </si>
  <si>
    <t>17-Jul</t>
  </si>
  <si>
    <t>24-Jul</t>
  </si>
  <si>
    <t>31-Jul</t>
  </si>
  <si>
    <t>07-Aug</t>
  </si>
  <si>
    <t>Row Labels</t>
  </si>
  <si>
    <t>ahmed.a.said@oracle.com</t>
  </si>
  <si>
    <t>ahmed.aa.attia@oracle.com</t>
  </si>
  <si>
    <t>ahmed.h.hassan@oracle.com</t>
  </si>
  <si>
    <t>ahmed.labib@oracle.com</t>
  </si>
  <si>
    <t>ahmed.n.nasr@oracle.com</t>
  </si>
  <si>
    <t>ajith.thota@oracle.com</t>
  </si>
  <si>
    <t>ali.omar.hasan@oracle.com</t>
  </si>
  <si>
    <t>amr.h.hossam@oracle.com</t>
  </si>
  <si>
    <t>anirban.basu@oracle.com</t>
  </si>
  <si>
    <t>asmaa.i.ibrahim@oracle.com</t>
  </si>
  <si>
    <t>balaji.ketti@oracle.com</t>
  </si>
  <si>
    <t>basma.elsaify@oracle.com</t>
  </si>
  <si>
    <t>ebrahim.youssri@oracle.com</t>
  </si>
  <si>
    <t>karim.kh.hassan@oracle.com</t>
  </si>
  <si>
    <t>khaled.selim@oracle.com</t>
  </si>
  <si>
    <t>khulode.emad.el-din@oracle.com</t>
  </si>
  <si>
    <t>kishore.babu.katta@oracle.com</t>
  </si>
  <si>
    <t>kyrillos.nagy@oracle.com</t>
  </si>
  <si>
    <t>manisekaran.seetharaman@oracle.com</t>
  </si>
  <si>
    <t>mayank.y.raj@oracle.com</t>
  </si>
  <si>
    <t>menna.allah.shaaban@oracle.com</t>
  </si>
  <si>
    <t>mohamed.m.ragab@oracle.com</t>
  </si>
  <si>
    <t>mostafa.mahmoud@oracle.com</t>
  </si>
  <si>
    <t>moustafa.ahmed@oracle.com</t>
  </si>
  <si>
    <t>rawan.ismail@oracle.com</t>
  </si>
  <si>
    <t>reem.a.amin@oracle.com</t>
  </si>
  <si>
    <t>tarek.abo.ali@oracle.com</t>
  </si>
  <si>
    <t>vijayalakshmi.jayakumar@oracle.com</t>
  </si>
  <si>
    <t>vikram.v.batchu@oracle.com</t>
  </si>
  <si>
    <t>&lt;06/03/2026</t>
  </si>
  <si>
    <t>Mar Total</t>
  </si>
  <si>
    <t>Apr Total</t>
  </si>
  <si>
    <t>May Total</t>
  </si>
  <si>
    <t>06-Mar</t>
  </si>
  <si>
    <t>13-Mar</t>
  </si>
  <si>
    <t>20-Mar</t>
  </si>
  <si>
    <t>27-Mar</t>
  </si>
  <si>
    <t>03-Apr</t>
  </si>
  <si>
    <t>10-Apr</t>
  </si>
  <si>
    <t>17-Apr</t>
  </si>
  <si>
    <t>24-Apr</t>
  </si>
  <si>
    <t>01-May</t>
  </si>
  <si>
    <t>08-May</t>
  </si>
  <si>
    <t>15-May</t>
  </si>
  <si>
    <t>22-May</t>
  </si>
  <si>
    <t>ahmed.aa.atef@oracle.com</t>
  </si>
  <si>
    <t>ahmed.fahim@oracle.com</t>
  </si>
  <si>
    <t>amr.elabbasy@oracle.com</t>
  </si>
  <si>
    <t>hany.ali@oracle.com</t>
  </si>
  <si>
    <t>jesus.alonso@oracle.com</t>
  </si>
  <si>
    <t>khaled.k.abbady@oracle.com</t>
  </si>
  <si>
    <t>manal.mourad@oracle.com</t>
  </si>
  <si>
    <t>mina.maher@oracle.com</t>
  </si>
  <si>
    <t>mohamed.abdel.sabour@oracle.com</t>
  </si>
  <si>
    <t>rajesh.budakoti@oracle.com</t>
  </si>
  <si>
    <t>raju.vishwakarma@oracle.com</t>
  </si>
  <si>
    <t>rudi.v.van.der.westhuizen@oracle.com</t>
  </si>
  <si>
    <t>(blank)</t>
  </si>
  <si>
    <t>29-May</t>
  </si>
  <si>
    <t>ahmed.abdel.aziz@oracle.com</t>
  </si>
  <si>
    <t>ahmed.k.kassem@oracle.com</t>
  </si>
  <si>
    <t>ahmed.ma.maher@oracle.com</t>
  </si>
  <si>
    <t>ahmed.moheb@oracle.com</t>
  </si>
  <si>
    <t>amr.osama@oracle.com</t>
  </si>
  <si>
    <t>ashish.ac.sharma@oracle.com</t>
  </si>
  <si>
    <t>deepak.n.gupta@oracle.com</t>
  </si>
  <si>
    <t>francesco.sabiu@oracle.com</t>
  </si>
  <si>
    <t>harikaran.s@oracle.com</t>
  </si>
  <si>
    <t>harshal.devkar@oracle.com</t>
  </si>
  <si>
    <t>himanshu.n.nayak@oracle.com</t>
  </si>
  <si>
    <t>kalyan.vunnam@oracle.com</t>
  </si>
  <si>
    <t>khaled.r.rady@oracle.com</t>
  </si>
  <si>
    <t>koustubh.kanetkar@oracle.com</t>
  </si>
  <si>
    <t>marwa.g.gamal@oracle.com</t>
  </si>
  <si>
    <t>md.shareef@oracle.com</t>
  </si>
  <si>
    <t>omar.hefnawy@oracle.com</t>
  </si>
  <si>
    <t>sampat.achary@oracle.com</t>
  </si>
  <si>
    <t>sharavanakumar.k.k.v@oracle.com</t>
  </si>
  <si>
    <t>srinivasan.venkat.raman@oracle.com</t>
  </si>
  <si>
    <t>A7XFJB_ FP TECH  E &amp; Enterprise Cloud - Sole Proprietorship LLC-Alloy CLOUD</t>
  </si>
  <si>
    <t>&lt;8/8/2025</t>
  </si>
  <si>
    <t>2025</t>
  </si>
  <si>
    <t>2025 Total</t>
  </si>
  <si>
    <t>2026</t>
  </si>
  <si>
    <t>2026 Total</t>
  </si>
  <si>
    <t>Qtr3</t>
  </si>
  <si>
    <t>Qtr3 Total</t>
  </si>
  <si>
    <t>Qtr4</t>
  </si>
  <si>
    <t>Qtr4 Total</t>
  </si>
  <si>
    <t>Qtr1</t>
  </si>
  <si>
    <t>Qtr2</t>
  </si>
  <si>
    <t>Qtr2 Total</t>
  </si>
  <si>
    <t>abhinaw.jaiswal@oracle.com</t>
  </si>
  <si>
    <t>ahmed.ah.mostafa@oracle.com</t>
  </si>
  <si>
    <t>ahmed.g.ghareeb@oracle.com</t>
  </si>
  <si>
    <t>amir.mawla@oracle.com</t>
  </si>
  <si>
    <t>amira.ibrahim@oracle.com</t>
  </si>
  <si>
    <t>ashish.ab.sharma@oracle.com</t>
  </si>
  <si>
    <t>asmaa.murad@oracle.com</t>
  </si>
  <si>
    <t>ayman.s.shawky@oracle.com</t>
  </si>
  <si>
    <t>habiba.e.el.matboly@oracle.com</t>
  </si>
  <si>
    <t>hazem.k.khaled@oracle.com</t>
  </si>
  <si>
    <t>hemant.shrimali@oracle.com</t>
  </si>
  <si>
    <t>ishwar.patil@oracle.com</t>
  </si>
  <si>
    <t>khloud.samir@oracle.com</t>
  </si>
  <si>
    <t>kumaresan.kaliyamoorthy@oracle.com</t>
  </si>
  <si>
    <t>moaz.tawfik@oracle.com</t>
  </si>
  <si>
    <t>mohamed.m.osama@oracle.com</t>
  </si>
  <si>
    <t>mostafa.ashraf.farouk@oracle.com</t>
  </si>
  <si>
    <t>osama.s.salah@oracle.com</t>
  </si>
  <si>
    <t>piyush.deshpande@oracle.com</t>
  </si>
  <si>
    <t>rana.ramy@oracle.com</t>
  </si>
  <si>
    <t>sanjeev.s.gupta@oracle.com</t>
  </si>
  <si>
    <t>satyam.k.kumar@oracle.com</t>
  </si>
  <si>
    <t>sirish.vegad@oracle.com</t>
  </si>
  <si>
    <t>soujanya.havanagi@oracle.com</t>
  </si>
  <si>
    <t>sudhalakshmi.gavirni@oracle.com</t>
  </si>
  <si>
    <t>wael.hamouda@oracle.com</t>
  </si>
  <si>
    <t>yomna.salama@oracle.com</t>
  </si>
  <si>
    <t>ziad.diaa@oracle.com</t>
  </si>
  <si>
    <t>Sno</t>
  </si>
  <si>
    <t>Milestone</t>
  </si>
  <si>
    <t>Percentage</t>
  </si>
  <si>
    <t xml:space="preserve">Fee in AED </t>
  </si>
  <si>
    <t>Fee in $</t>
  </si>
  <si>
    <t>Expected Date To Submit the Certificate</t>
  </si>
  <si>
    <t>Certificate Status</t>
  </si>
  <si>
    <t>Invoice Status</t>
  </si>
  <si>
    <t>Notes</t>
  </si>
  <si>
    <t xml:space="preserve">Kick-Off Meeting Notes </t>
  </si>
  <si>
    <t>Submitted</t>
  </si>
  <si>
    <t>Paid</t>
  </si>
  <si>
    <t xml:space="preserve">Project Plan </t>
  </si>
  <si>
    <t>Submission of Technical Configuration Document for Enterprise Analytics - Finance - Ledger 1</t>
  </si>
  <si>
    <t>Submission of Technical Configuration Document for Enterprise Analytics - Finance - Ledger 2</t>
  </si>
  <si>
    <t>Not Yet Submitted</t>
  </si>
  <si>
    <t>Not Paid Yet</t>
  </si>
  <si>
    <t>Submission of Technical Configuration Document for Enterprise Analytics - Finance - Ledger 3</t>
  </si>
  <si>
    <t>Submission of Technical Configuration Document for Enterprise Analytics - SCM - Ledger 1</t>
  </si>
  <si>
    <t>Submission of Technical Configuration Document for Enterprise Analytics - SCM - Ledger 2</t>
  </si>
  <si>
    <t>Submission of Technical Configuration Document for Enterprise Analytics - HR - Operating Unit 1</t>
  </si>
  <si>
    <t>Submission of Technical Configuration Document for Enterprise Analytics - HR - Operating Unit 2</t>
  </si>
  <si>
    <t>Submission of Technical Configuration Document for Enterprise Analytics - HR - Operating Unit 3</t>
  </si>
  <si>
    <t>Submission of Functional Requirement Document for Oracle Data Warehouse for Maximo</t>
  </si>
  <si>
    <t>Delayed, expected new date 15-6-2026</t>
  </si>
  <si>
    <t>Submission of Technical Design Document for Oracle Data Warehouse for Maximo</t>
  </si>
  <si>
    <t>Delayed, expected new date 15-6-2027</t>
  </si>
  <si>
    <t>Submission of UAT Issue log tracker for Enterprise Analytics and Oracle Data Warehouse for Maximo</t>
  </si>
  <si>
    <t>Submission of PPS Issue log tracker for Enterprise Analytics and Oracle Data Warehouse for Maximo</t>
  </si>
  <si>
    <t>Completion of deliverable D02: Project Management Plan including Governance setup.</t>
  </si>
  <si>
    <t xml:space="preserve">Not Yet Submitted </t>
  </si>
  <si>
    <t xml:space="preserve">Project Delayed by 3 months due to Pre-Sales Discussion </t>
  </si>
  <si>
    <t>Completion of deliverable D05: Data Collection and Discovery Workshops</t>
  </si>
  <si>
    <t>Completion of deliverable D09: High level Architecture covering Target Network Design, Target Security principles, Supporting Infrastructure.</t>
  </si>
  <si>
    <t>Completion of deliverable D10: Candidate Application List (CAL) for Each Move Groups (Tools extract).</t>
  </si>
  <si>
    <t>Completion of deliverable D19: Execution of Trail Run.</t>
  </si>
  <si>
    <t>Completion of deliverable D21: Technical Verification document for first (1st) batch of fifty (50) migrated workloads.</t>
  </si>
  <si>
    <t>Completion of deliverable D22: Technical Verification document for second (2nd) batch of fifty (50) migrated workloads.</t>
  </si>
  <si>
    <t>30/05//2026</t>
  </si>
  <si>
    <t>Completion of deliverable D23: Technical Verification document for third (3rd) batch of fifty (50) migrated workloads.</t>
  </si>
  <si>
    <t>Completion of deliverable D24: Technical Verification document for fourth (4th) batch of fifty (50) migrated workloads.</t>
  </si>
  <si>
    <t>Completion of deliverable D25: Technical Verification document for fifth (5th) batch of fifty (50) migrated workloads.</t>
  </si>
  <si>
    <t>Completion of deliverable D26: Technical Verification document for sixth (6th) batch of up to forty-seven (47) migrated workloads.</t>
  </si>
  <si>
    <t>Completion of deliverable D27: Hypercare and Handover</t>
  </si>
  <si>
    <t>Project Kick-off Meeting</t>
  </si>
  <si>
    <t>Project Management Plan</t>
  </si>
  <si>
    <t>Discovery &amp; Analysis Document – DRCC Workloads</t>
  </si>
  <si>
    <t>High-Level Design (HLD)</t>
  </si>
  <si>
    <t>Foundation Setup – OCI Landing Zone</t>
  </si>
  <si>
    <t>Low-Level Design (LLD)</t>
  </si>
  <si>
    <t>Technical Verification Documents MG1</t>
  </si>
  <si>
    <t>Technical Verification Documents MG2</t>
  </si>
  <si>
    <t>Technical Verification Documents MG3</t>
  </si>
  <si>
    <t>Technical Verification Documents MG4</t>
  </si>
  <si>
    <t>Technical Verification Documents MG5</t>
  </si>
  <si>
    <t>Technical Verification Documents MG6</t>
  </si>
  <si>
    <t>Technical Verification Documents MG7</t>
  </si>
  <si>
    <t>Technical Verification Documents MG8</t>
  </si>
  <si>
    <t>Technical Verification Documents MG9</t>
  </si>
  <si>
    <t>Technical Verification Documents MG10</t>
  </si>
  <si>
    <t>Technical Verification Documents MG11</t>
  </si>
  <si>
    <t>Technical Verification Documents MG12</t>
  </si>
  <si>
    <t>Technical Verification Documents MG13</t>
  </si>
  <si>
    <t>Technical Verification Documents MG14</t>
  </si>
  <si>
    <t>Technical Verification Documents MG15</t>
  </si>
  <si>
    <t>Technical Verification Documents MG16</t>
  </si>
  <si>
    <t>Technical Verification Documents MG17</t>
  </si>
  <si>
    <t>Technical Verification Documents MG18</t>
  </si>
  <si>
    <t>Technical Verification Documents MG19</t>
  </si>
  <si>
    <t>400365175 - A7XFJB_ FP TECH E &amp; Enterprise Cloud - Sole Proprietorship LLC-Alloy CLOUD</t>
  </si>
  <si>
    <t>On Contract Signature</t>
  </si>
  <si>
    <t>25/11/2025</t>
  </si>
  <si>
    <t xml:space="preserve">Submitted </t>
  </si>
  <si>
    <t>In Progress</t>
  </si>
  <si>
    <t>Completion of deliverable D21: Execution of Trail Run.</t>
  </si>
  <si>
    <t xml:space="preserve">Completed </t>
  </si>
  <si>
    <t>Completion of deliverable D23: Technical Verification document for 1st batch of 100 migrated workloads.</t>
  </si>
  <si>
    <t>30/7/2026</t>
  </si>
  <si>
    <t>Completion of deliverable D24: Technical Verification document for 2nd batch of 100 migrated workloads.</t>
  </si>
  <si>
    <t>30/8/2026</t>
  </si>
  <si>
    <t>Completion of deliverable D25: Technical Verification document for 3rd batch of 100 migrated workloads.</t>
  </si>
  <si>
    <t>Completion of deliverable D26: Technical Verification document for 4th batch of 100 migrated workloads.</t>
  </si>
  <si>
    <t>Completion of deliverable D27: Technical Verification document for 5th batch of 100 migrated workloads.</t>
  </si>
  <si>
    <t>30/9/2026</t>
  </si>
  <si>
    <t>Completion of deliverable D28: Technical Verification document for 6th batch of 100 migrated workloads.</t>
  </si>
  <si>
    <t>Completion of deliverable D29: Technical Verification document for 7th batch of 100 migrated workloads.</t>
  </si>
  <si>
    <t>Completion of deliverable D30: Technical Verification document for 8th batch of 100 migrated workloads.</t>
  </si>
  <si>
    <t>30/10/2026</t>
  </si>
  <si>
    <t>Completion of deliverable D31: Technical Verification document for 9th batch of 100 migrated workloads.</t>
  </si>
  <si>
    <t>Completion of deliverable D32: Technical Verification document for 10th batch of 100 migrated workloads.</t>
  </si>
  <si>
    <t>30/11/2026</t>
  </si>
  <si>
    <t>Completion of deliverable D33: Technical Verification document for 11th batch of 100 migrated workloads.</t>
  </si>
  <si>
    <t>Completion of deliverable D34: Technical Verification document for 12th batch of 100 migrated workloads.</t>
  </si>
  <si>
    <t>Completion of deliverable D35: Technical Verification document for 13th batch of 100 migrated workloads.</t>
  </si>
  <si>
    <t>30/12/2026</t>
  </si>
  <si>
    <t>Completion of deliverable D36: Technical Verification document for 14th batch of 100 migrated workloads.</t>
  </si>
  <si>
    <t>Completion of deliverable D37: Technical Verification document for 15th batch of 100 migrated workloads.</t>
  </si>
  <si>
    <t>Completion of deliverable D38: Technical Verification document for 16th batch of 100 migrated workloads.</t>
  </si>
  <si>
    <t>30/1/2027</t>
  </si>
  <si>
    <t>Completion of deliverable D39: Technical Verification document for 17th batch of 100 migrated workloads.</t>
  </si>
  <si>
    <t>Completion of deliverable D40: Technical Verification document for 18th batch of 100 migrated workloads.</t>
  </si>
  <si>
    <t>Completion of deliverable D41: Technical Verification document for 19th batch of 100 migrated workloads.</t>
  </si>
  <si>
    <t>28/2/2027</t>
  </si>
  <si>
    <t>Completion of deliverable D42: Technical Verification document for 20th batch of 100 migrated workloads.</t>
  </si>
  <si>
    <t>Completion of deliverable D43: Technical Verification document for 21st batch of 100 migrated workloads.</t>
  </si>
  <si>
    <t>Completion of deliverable D44: Technical Verification document for 22nd batch of 100 migrated workloads.</t>
  </si>
  <si>
    <t>30/3/2027</t>
  </si>
  <si>
    <t>Completion of deliverable D45: Technical Verification document for 23rd batch of 100 migrated workloads.</t>
  </si>
  <si>
    <t>Completion of deliverable D46: Technical Verification document for 24th batch of 100 migrated workloads.</t>
  </si>
  <si>
    <t>Completion of deliverable D47: Technical Verification document for 25th batch of 100 migrated workloads.</t>
  </si>
  <si>
    <t>30/4/2027</t>
  </si>
  <si>
    <t>Completion of deliverable D48: Technical Verification document for 26th batch of 100 migrated workloads.</t>
  </si>
  <si>
    <t>Completion of deliverable D49: Technical Verification document for 27th batch of 100 migrated workloads.</t>
  </si>
  <si>
    <t>Completion of deliverable D50: Technical Verification document for 28th batch of 100 migrated workloads.</t>
  </si>
  <si>
    <t>30/5/2027</t>
  </si>
  <si>
    <t>Completion of deliverable D51: Technical Verification document for 29th batch of 100 migrated workloads.</t>
  </si>
  <si>
    <t>Completion of deliverable D52: Technical Verification document for 30th batch of 100 migrated workloads.</t>
  </si>
  <si>
    <t>Completion of deliverable D53: Technical Verification document for 31st batch of 100 migrated workloads.</t>
  </si>
  <si>
    <t>30/6/2027</t>
  </si>
  <si>
    <t>Completion of deliverable D54: Technical Verification document for 32nd batch of 100 migrated workloads.</t>
  </si>
  <si>
    <t>Completion of deliverable D55: Technical Verification document for 33rd batch of 100 migrated workloads.</t>
  </si>
  <si>
    <t>Completion of deliverable D56: Technical Verification document for 34th batch of 100 migrated workloads.</t>
  </si>
  <si>
    <t xml:space="preserve">Change Scope Document </t>
  </si>
  <si>
    <t>Completion of deliverable D57: Technical Verification document for 35th batch of 100 migrated workloads.</t>
  </si>
  <si>
    <t>Completion of deliverable D58: Technical Verification document for 36th batch of 100 migrated workloads.</t>
  </si>
  <si>
    <t>Completion of deliverable D59: Technical Verification document for 37th batch of 100 migrated workloads.</t>
  </si>
  <si>
    <t>Completion of deliverable D60: Technical Verification document for 38th batch of 100 migrated workloads.</t>
  </si>
  <si>
    <t>Completion of deliverable D61: Technical Verification document for 39th batch of 100 migrated workloads.</t>
  </si>
  <si>
    <t>Completion of deliverable D62: Technical Verification document for 40th batch of 100 migrated workloads.</t>
  </si>
  <si>
    <t>Completion of deliverable D63: Technical Verification document for 41st batch of 100 migrated workloads.</t>
  </si>
  <si>
    <t>Completion of deliverable D64: Technical Verification document for 42nd batch of 100 migrated workloads.</t>
  </si>
  <si>
    <t>Completion of deliverable D65: Technical Verification document for 43rd batch of 100 migrated workloads.</t>
  </si>
  <si>
    <t>Completion of deliverable D66: Technical Verification document for 44th batch of 100 migrated workloads.</t>
  </si>
  <si>
    <t>Completion of deliverable D67: Technical Verification document for 45th batch of 100 migrated workloads.</t>
  </si>
  <si>
    <t>Completion of deliverable D68: Technical Verification document for 46th batch of 100 migrated workloads.</t>
  </si>
  <si>
    <t>Completion of deliverable D69: Technical Verification document for 47th batch of 100 migrated workloads.</t>
  </si>
  <si>
    <t>Completion of deliverable D70: Technical Verification document for 48th batch of 100 migrated workloads.</t>
  </si>
  <si>
    <t>Completion of deliverable D71: Technical Verification document for 49th batch of 100 migrated workloads.</t>
  </si>
  <si>
    <t>Completion of deliverable D72: Technical Verification document for 50th batch of 100 migrated workloads.</t>
  </si>
  <si>
    <t>Completion of deliverable D73: Technical Verification document for 51st batch of 100 migrated workloads.</t>
  </si>
  <si>
    <t>Completion of deliverable D74: Technical Verification document for 52nd batch of 100 migrated workloads.</t>
  </si>
  <si>
    <t>Completion of deliverable D75: Technical Verification document for 53rd batch of 100 migrated workloads.</t>
  </si>
  <si>
    <t>Completion of deliverable D76: Technical Verification document for 54th batch of 100 migrated workloads.</t>
  </si>
  <si>
    <t>Completion of deliverable D77: Technical Verification document for 55th batch of 100 migrated workloads.</t>
  </si>
  <si>
    <t>Completion of deliverable D78: Technical Verification document for 56th batch of 100 migrated workloads.</t>
  </si>
  <si>
    <t>Completion of deliverable D79: Technical Verification document for 57th batch of 103 migrated workloads.</t>
  </si>
  <si>
    <t>Hypercare and Handover</t>
  </si>
  <si>
    <t xml:space="preserve">TBD </t>
  </si>
  <si>
    <t>Pic</t>
  </si>
  <si>
    <t>Karim Khaled</t>
  </si>
  <si>
    <t>Ali Omar</t>
  </si>
  <si>
    <t>Khaled Selim</t>
  </si>
  <si>
    <t>Project Currency</t>
  </si>
  <si>
    <t>AED</t>
  </si>
  <si>
    <t>USD</t>
  </si>
  <si>
    <t>Partially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</si>
</sst>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14C09]dd/mm/yy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sz val="9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1" fillId="0" borderId="0"/>
  </cellStyleXfs>
  <cellXfs count="111">
    <xf numFmtId="0" fontId="0" fillId="0" borderId="0" xfId="0"/>
    <xf numFmtId="164" fontId="0" fillId="0" borderId="7" xfId="1" applyNumberFormat="1" applyFont="1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pivotButton="1"/>
    <xf numFmtId="164" fontId="5" fillId="0" borderId="7" xfId="1" applyNumberFormat="1" applyFont="1" applyBorder="1"/>
    <xf numFmtId="0" fontId="4" fillId="0" borderId="0" xfId="0" applyFont="1"/>
    <xf numFmtId="0" fontId="3" fillId="6" borderId="0" xfId="0" applyFont="1" applyFill="1" applyAlignment="1">
      <alignment horizontal="center"/>
    </xf>
    <xf numFmtId="164" fontId="0" fillId="0" borderId="6" xfId="1" applyNumberFormat="1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8" xfId="2" applyFont="1" applyBorder="1"/>
    <xf numFmtId="0" fontId="0" fillId="0" borderId="7" xfId="0" applyBorder="1"/>
    <xf numFmtId="164" fontId="0" fillId="0" borderId="8" xfId="1" applyNumberFormat="1" applyFont="1" applyBorder="1"/>
    <xf numFmtId="0" fontId="0" fillId="0" borderId="6" xfId="0" applyBorder="1"/>
    <xf numFmtId="164" fontId="1" fillId="0" borderId="7" xfId="1" applyNumberFormat="1" applyFont="1" applyBorder="1"/>
    <xf numFmtId="164" fontId="1" fillId="0" borderId="7" xfId="1" applyNumberFormat="1" applyFont="1" applyBorder="1" applyAlignment="1"/>
    <xf numFmtId="0" fontId="0" fillId="0" borderId="8" xfId="0" applyBorder="1"/>
    <xf numFmtId="0" fontId="0" fillId="7" borderId="14" xfId="0" applyFill="1" applyBorder="1"/>
    <xf numFmtId="0" fontId="8" fillId="0" borderId="0" xfId="3"/>
    <xf numFmtId="0" fontId="8" fillId="0" borderId="0" xfId="3" applyAlignment="1">
      <alignment horizontal="left"/>
    </xf>
    <xf numFmtId="0" fontId="8" fillId="0" borderId="0" xfId="3" pivotButton="1"/>
    <xf numFmtId="164" fontId="0" fillId="0" borderId="7" xfId="1" applyNumberFormat="1" applyFont="1" applyBorder="1" applyAlignment="1">
      <alignment horizontal="center"/>
    </xf>
    <xf numFmtId="0" fontId="0" fillId="2" borderId="7" xfId="0" applyFill="1" applyBorder="1"/>
    <xf numFmtId="164" fontId="0" fillId="2" borderId="7" xfId="1" applyNumberFormat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0" fillId="0" borderId="0" xfId="0" applyAlignment="1">
      <alignment horizontal="center"/>
    </xf>
    <xf numFmtId="0" fontId="6" fillId="0" borderId="0" xfId="0" applyFont="1"/>
    <xf numFmtId="10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0" applyFont="1"/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0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0" fillId="0" borderId="0" xfId="0" applyNumberFormat="1"/>
    <xf numFmtId="165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1" fillId="0" borderId="7" xfId="1" applyNumberFormat="1" applyFont="1" applyFill="1" applyBorder="1"/>
    <xf numFmtId="164" fontId="1" fillId="0" borderId="7" xfId="1" applyNumberFormat="1" applyFont="1" applyFill="1" applyBorder="1" applyAlignment="1"/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/>
    <xf numFmtId="0" fontId="7" fillId="0" borderId="6" xfId="0" applyFont="1" applyBorder="1"/>
    <xf numFmtId="0" fontId="7" fillId="0" borderId="7" xfId="0" applyFont="1" applyBorder="1"/>
    <xf numFmtId="164" fontId="7" fillId="0" borderId="7" xfId="1" applyNumberFormat="1" applyFont="1" applyBorder="1"/>
    <xf numFmtId="164" fontId="7" fillId="0" borderId="8" xfId="1" applyNumberFormat="1" applyFont="1" applyBorder="1"/>
    <xf numFmtId="164" fontId="7" fillId="0" borderId="7" xfId="1" applyNumberFormat="1" applyFont="1" applyBorder="1" applyAlignment="1">
      <alignment horizontal="center"/>
    </xf>
    <xf numFmtId="164" fontId="7" fillId="0" borderId="6" xfId="1" applyNumberFormat="1" applyFont="1" applyBorder="1"/>
    <xf numFmtId="9" fontId="7" fillId="0" borderId="8" xfId="2" applyFont="1" applyBorder="1"/>
    <xf numFmtId="0" fontId="7" fillId="0" borderId="13" xfId="0" applyFont="1" applyBorder="1" applyAlignment="1">
      <alignment horizontal="center" vertical="center"/>
    </xf>
    <xf numFmtId="164" fontId="12" fillId="0" borderId="7" xfId="1" applyNumberFormat="1" applyFont="1" applyBorder="1"/>
    <xf numFmtId="164" fontId="7" fillId="0" borderId="7" xfId="1" applyNumberFormat="1" applyFont="1" applyBorder="1" applyAlignment="1"/>
    <xf numFmtId="164" fontId="12" fillId="0" borderId="8" xfId="1" applyNumberFormat="1" applyFont="1" applyBorder="1" applyAlignment="1"/>
    <xf numFmtId="14" fontId="9" fillId="0" borderId="0" xfId="0" applyNumberFormat="1" applyFont="1" applyAlignment="1">
      <alignment vertical="center"/>
    </xf>
    <xf numFmtId="0" fontId="0" fillId="8" borderId="0" xfId="0" applyFill="1"/>
    <xf numFmtId="14" fontId="0" fillId="0" borderId="0" xfId="0" applyNumberFormat="1" applyAlignment="1">
      <alignment horizontal="center" vertical="center"/>
    </xf>
    <xf numFmtId="164" fontId="1" fillId="0" borderId="0" xfId="1" applyNumberFormat="1" applyFont="1" applyBorder="1" applyAlignment="1">
      <alignment horizontal="center"/>
    </xf>
    <xf numFmtId="164" fontId="1" fillId="0" borderId="2" xfId="1" applyNumberFormat="1" applyFont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164" fontId="7" fillId="0" borderId="2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130F9990-CE42-46B7-BE7B-3D5313224B17}"/>
    <cellStyle name="Normal 4" xfId="4" xr:uid="{2E115CC4-F90F-47DF-B7FA-84C0B0A171C5}"/>
    <cellStyle name="Percent" xfId="2" builtinId="5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al%20Mourad\Downloads\WIP%20for%20PM%20and%20BA%20RESTRICTED_WIP(29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omna%20Salama\Downloads\WIP%20for%20PM%20and%20BA%20RESTRICTED_WIP%20(4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Master%20Sheet%20-%2011%20Aug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fnawi\Downloads\WIP%20for%20PM%20and%20BA%20RESTRICTED_WIP%20(16)_10082026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l Mourad" refreshedDate="46167.373386226849" createdVersion="8" refreshedVersion="8" minRefreshableVersion="3" recordCount="381" xr:uid="{0EEF7DA6-16E6-4E12-9F47-AB90CB315BFF}">
  <cacheSource type="worksheet">
    <worksheetSource ref="A1:AO382" sheet="Sheet1" r:id="rId2"/>
  </cacheSource>
  <cacheFields count="43">
    <cacheField name="Project Business Unit" numFmtId="0">
      <sharedItems containsBlank="1"/>
    </cacheField>
    <cacheField name="Project Company Code" numFmtId="0">
      <sharedItems containsBlank="1"/>
    </cacheField>
    <cacheField name="Project Cost Center" numFmtId="0">
      <sharedItems/>
    </cacheField>
    <cacheField name="Project Number" numFmtId="0">
      <sharedItems/>
    </cacheField>
    <cacheField name="Project Name" numFmtId="0">
      <sharedItems containsBlank="1"/>
    </cacheField>
    <cacheField name="Expansion Country Project Number" numFmtId="0">
      <sharedItems containsNonDate="0" containsString="0" containsBlank="1"/>
    </cacheField>
    <cacheField name="Project Type" numFmtId="0">
      <sharedItems containsBlank="1"/>
    </cacheField>
    <cacheField name="Project Status" numFmtId="0">
      <sharedItems containsBlank="1"/>
    </cacheField>
    <cacheField name="Project Manager Email" numFmtId="0">
      <sharedItems containsBlank="1"/>
    </cacheField>
    <cacheField name="Contract Customer Name" numFmtId="0">
      <sharedItems containsBlank="1"/>
    </cacheField>
    <cacheField name="Contract Number" numFmtId="0">
      <sharedItems containsBlank="1"/>
    </cacheField>
    <cacheField name="Contract Name" numFmtId="0">
      <sharedItems containsBlank="1"/>
    </cacheField>
    <cacheField name="Contract Line Number" numFmtId="0">
      <sharedItems containsBlank="1"/>
    </cacheField>
    <cacheField name="Contract Line Name" numFmtId="0">
      <sharedItems containsBlank="1"/>
    </cacheField>
    <cacheField name="Transaction Number" numFmtId="0">
      <sharedItems containsBlank="1"/>
    </cacheField>
    <cacheField name="Original Transaction Reference" numFmtId="0">
      <sharedItems containsBlank="1"/>
    </cacheField>
    <cacheField name="Task Number" numFmtId="0">
      <sharedItems containsBlank="1"/>
    </cacheField>
    <cacheField name="Task Name" numFmtId="0">
      <sharedItems containsBlank="1"/>
    </cacheField>
    <cacheField name="Expenditure Type" numFmtId="0">
      <sharedItems containsBlank="1"/>
    </cacheField>
    <cacheField name="Work Type Code " numFmtId="0">
      <sharedItems containsBlank="1"/>
    </cacheField>
    <cacheField name="Expenditure Item Date" numFmtId="0">
      <sharedItems containsNonDate="0" containsDate="1" containsString="0" containsBlank="1" minDate="2026-03-02T00:00:00" maxDate="2026-05-19T00:00:00" count="66">
        <d v="2026-03-02T00:00:00"/>
        <d v="2026-03-03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3-29T00:00:00"/>
        <d v="2026-04-05T00:00:00"/>
        <d v="2026-04-18T00:00:00"/>
        <d v="2026-04-19T00:00:00"/>
        <d v="2026-04-25T00:00:00"/>
        <d v="2026-04-26T00:00:00"/>
        <d v="2026-05-03T00:00:00"/>
        <d v="2026-05-09T00:00:00"/>
        <d v="2026-05-10T00:00:00"/>
        <m/>
      </sharedItems>
      <fieldGroup par="41" base="20">
        <rangePr groupBy="days" startDate="2026-03-02T00:00:00" endDate="2026-05-19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/05/2026"/>
        </groupItems>
      </fieldGroup>
    </cacheField>
    <cacheField name="Week Ending Date " numFmtId="0">
      <sharedItems containsNonDate="0" containsDate="1" containsString="0" containsBlank="1" minDate="2026-03-06T00:00:00" maxDate="2026-05-23T00:00:00" count="13">
        <d v="2026-03-06T00:00:00"/>
        <d v="2026-03-13T00:00:00"/>
        <d v="2026-03-20T00:00:00"/>
        <d v="2026-03-27T00:00:00"/>
        <d v="2026-04-03T00:00:00"/>
        <d v="2026-04-10T00:00:00"/>
        <d v="2026-04-17T00:00:00"/>
        <d v="2026-04-24T00:00:00"/>
        <d v="2026-05-01T00:00:00"/>
        <d v="2026-05-08T00:00:00"/>
        <d v="2026-05-15T00:00:00"/>
        <d v="2026-05-22T00:00:00"/>
        <m/>
      </sharedItems>
      <fieldGroup par="42" base="21">
        <rangePr groupBy="days" startDate="2026-03-06T00:00:00" endDate="2026-05-23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/05/2026"/>
        </groupItems>
      </fieldGroup>
    </cacheField>
    <cacheField name="Person Email" numFmtId="0">
      <sharedItems containsBlank="1" count="18">
        <s v="hany.ali@oracle.com"/>
        <s v="ahmed.aa.atef@oracle.com"/>
        <s v="manal.mourad@oracle.com"/>
        <s v="khaled.selim@oracle.com"/>
        <s v="amr.elabbasy@oracle.com"/>
        <s v="jesus.alonso@oracle.com"/>
        <s v="rudi.v.van.der.westhuizen@oracle.com"/>
        <s v="balaji.ketti@oracle.com"/>
        <s v="vikram.v.batchu@oracle.com"/>
        <s v="amr.h.hossam@oracle.com"/>
        <s v="mohamed.abdel.sabour@oracle.com"/>
        <s v="mina.maher@oracle.com"/>
        <s v="ahmed.fahim@oracle.com"/>
        <s v="rajesh.budakoti@oracle.com"/>
        <s v="raju.vishwakarma@oracle.com"/>
        <s v="khaled.k.abbady@oracle.com"/>
        <s v="ahmed.aa.attia@oracle.com"/>
        <m/>
      </sharedItems>
    </cacheField>
    <cacheField name="Person Type" numFmtId="0">
      <sharedItems containsBlank="1"/>
    </cacheField>
    <cacheField name="Person Consulting Job Level" numFmtId="0">
      <sharedItems containsBlank="1"/>
    </cacheField>
    <cacheField name="Person Business Unit" numFmtId="0">
      <sharedItems containsBlank="1"/>
    </cacheField>
    <cacheField name="Person Organization" numFmtId="0">
      <sharedItems containsBlank="1"/>
    </cacheField>
    <cacheField name="Person Company Code" numFmtId="0">
      <sharedItems containsBlank="1"/>
    </cacheField>
    <cacheField name="Costed Flag" numFmtId="0">
      <sharedItems containsBlank="1"/>
    </cacheField>
    <cacheField name="Billable Flag " numFmtId="0">
      <sharedItems containsBlank="1"/>
    </cacheField>
    <cacheField name="Revenue Distributed Flag" numFmtId="0">
      <sharedItems containsBlank="1"/>
    </cacheField>
    <cacheField name="Quantity" numFmtId="0">
      <sharedItems containsString="0" containsBlank="1" containsNumber="1" containsInteger="1" minValue="1" maxValue="16"/>
    </cacheField>
    <cacheField name="Currency" numFmtId="0">
      <sharedItems containsBlank="1"/>
    </cacheField>
    <cacheField name="Cost Rate" numFmtId="0">
      <sharedItems containsString="0" containsBlank="1" containsNumber="1" minValue="28.22" maxValue="589.6"/>
    </cacheField>
    <cacheField name="Bill Rate" numFmtId="0">
      <sharedItems containsString="0" containsBlank="1" containsNumber="1" minValue="471.52" maxValue="943.05"/>
    </cacheField>
    <cacheField name="Cost Value " numFmtId="0">
      <sharedItems containsString="0" containsBlank="1" containsNumber="1" minValue="67.94" maxValue="9433.6"/>
    </cacheField>
    <cacheField name="Recognized Revenue (Labor)" numFmtId="0">
      <sharedItems containsString="0" containsBlank="1" containsNumber="1" containsInteger="1" minValue="0" maxValue="0"/>
    </cacheField>
    <cacheField name="Revenue yet to be recognized (Labor) " numFmtId="0">
      <sharedItems containsString="0" containsBlank="1" containsNumber="1" minValue="660.13" maxValue="15088.74"/>
    </cacheField>
    <cacheField name="Recognized Revenue (Expense) " numFmtId="0">
      <sharedItems containsString="0" containsBlank="1" containsNumber="1" containsInteger="1" minValue="0" maxValue="0"/>
    </cacheField>
    <cacheField name="Revenue yet to be recognized (Expense) " numFmtId="0">
      <sharedItems containsString="0" containsBlank="1" containsNumber="1" containsInteger="1" minValue="0" maxValue="0"/>
    </cacheField>
    <cacheField name="Expenditure Comment" numFmtId="0">
      <sharedItems containsNonDate="0" containsString="0" containsBlank="1"/>
    </cacheField>
    <cacheField name="Months" numFmtId="0" databaseField="0">
      <fieldGroup base="20">
        <rangePr groupBy="months" startDate="2026-03-02T00:00:00" endDate="2026-05-19T00:00:00"/>
        <groupItems count="14">
          <s v="&lt;02/0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5/2026"/>
        </groupItems>
      </fieldGroup>
    </cacheField>
    <cacheField name="Months2" numFmtId="0" databaseField="0">
      <fieldGroup base="21">
        <rangePr groupBy="months" startDate="2026-03-06T00:00:00" endDate="2026-05-23T00:00:00"/>
        <groupItems count="14">
          <s v="&lt;06/0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mna Salama" refreshedDate="46238.594892939815" createdVersion="8" refreshedVersion="8" minRefreshableVersion="3" recordCount="3498" xr:uid="{D93A0CFB-71FF-434C-8668-CE2859809AFE}">
  <cacheSource type="worksheet">
    <worksheetSource ref="A1:C1048576" sheet="Sheet6" r:id="rId2"/>
  </cacheSource>
  <cacheFields count="5">
    <cacheField name="Week Ending Date " numFmtId="0">
      <sharedItems containsNonDate="0" containsDate="1" containsString="0" containsBlank="1" minDate="2025-08-08T00:00:00" maxDate="2026-08-08T00:00:00" count="54">
        <d v="2025-08-08T00:00:00"/>
        <d v="2025-08-15T00:00:00"/>
        <d v="2025-08-22T00:00:00"/>
        <d v="2025-08-29T00:00:00"/>
        <d v="2025-09-05T00:00:00"/>
        <d v="2025-09-12T00:00:00"/>
        <d v="2025-09-19T00:00:00"/>
        <d v="2025-09-26T00:00:00"/>
        <d v="2025-10-03T00:00:00"/>
        <d v="2025-10-10T00:00:00"/>
        <d v="2025-10-17T00:00:00"/>
        <d v="2025-10-24T00:00:00"/>
        <d v="2025-10-31T00:00:00"/>
        <d v="2025-11-07T00:00:00"/>
        <d v="2025-11-14T00:00:00"/>
        <d v="2025-11-21T00:00:00"/>
        <d v="2025-11-28T00:00:00"/>
        <d v="2025-12-05T00:00:00"/>
        <d v="2025-12-12T00:00:00"/>
        <d v="2025-12-19T00:00:00"/>
        <d v="2025-12-26T00:00:00"/>
        <d v="2026-01-02T00:00:00"/>
        <d v="2026-01-09T00:00:00"/>
        <d v="2026-01-16T00:00:00"/>
        <d v="2026-01-23T00:00:00"/>
        <d v="2026-01-30T00:00:00"/>
        <d v="2026-02-06T00:00:00"/>
        <d v="2026-02-13T00:00:00"/>
        <d v="2026-02-20T00:00:00"/>
        <d v="2026-02-27T00:00:00"/>
        <d v="2026-03-06T00:00:00"/>
        <d v="2026-03-13T00:00:00"/>
        <d v="2026-03-20T00:00:00"/>
        <d v="2026-03-27T00:00:00"/>
        <d v="2026-04-03T00:00:00"/>
        <d v="2026-04-10T00:00:00"/>
        <d v="2026-04-17T00:00:00"/>
        <d v="2026-04-24T00:00:00"/>
        <d v="2026-05-01T00:00:00"/>
        <d v="2026-05-08T00:00:00"/>
        <d v="2026-05-15T00:00:00"/>
        <d v="2026-05-22T00:00:00"/>
        <d v="2026-06-05T00:00:00"/>
        <d v="2026-06-12T00:00:00"/>
        <d v="2026-06-19T00:00:00"/>
        <d v="2026-06-26T00:00:00"/>
        <d v="2026-07-03T00:00:00"/>
        <d v="2026-07-10T00:00:00"/>
        <d v="2026-07-17T00:00:00"/>
        <d v="2026-07-24T00:00:00"/>
        <d v="2026-07-31T00:00:00"/>
        <d v="2026-05-29T00:00:00"/>
        <d v="2026-08-07T00:00:00"/>
        <m/>
      </sharedItems>
      <fieldGroup par="4" base="0">
        <rangePr groupBy="months" startDate="2025-08-08T00:00:00" endDate="2026-08-08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8/2026"/>
        </groupItems>
      </fieldGroup>
    </cacheField>
    <cacheField name="Person Email" numFmtId="0">
      <sharedItems containsBlank="1" count="54">
        <s v="ahmed.ah.mostafa@oracle.com"/>
        <s v="hany.ali@oracle.com"/>
        <s v="khaled.selim@oracle.com"/>
        <s v="moaz.tawfik@oracle.com"/>
        <s v="wael.hamouda@oracle.com"/>
        <s v="ahmed.h.hassan@oracle.com"/>
        <s v="manal.mourad@oracle.com"/>
        <s v="amr.elabbasy@oracle.com"/>
        <s v="ahmed.aa.atef@oracle.com"/>
        <s v="ahmed.ma.maher@oracle.com"/>
        <s v="amir.mawla@oracle.com"/>
        <s v="ahmed.fahim@oracle.com"/>
        <s v="ahmed.a.said@oracle.com"/>
        <s v="karim.kh.hassan@oracle.com"/>
        <s v="abhinaw.jaiswal@oracle.com"/>
        <s v="menna.allah.shaaban@oracle.com"/>
        <s v="ahmed.g.ghareeb@oracle.com"/>
        <s v="amira.ibrahim@oracle.com"/>
        <s v="kumaresan.kaliyamoorthy@oracle.com"/>
        <s v="rana.ramy@oracle.com"/>
        <s v="sirish.vegad@oracle.com"/>
        <s v="ashish.ac.sharma@oracle.com"/>
        <s v="mina.maher@oracle.com"/>
        <s v="ahmed.moheb@oracle.com"/>
        <s v="soujanya.havanagi@oracle.com"/>
        <s v="yomna.salama@oracle.com"/>
        <s v="mohamed.m.osama@oracle.com"/>
        <s v="ahmed.aa.attia@oracle.com"/>
        <s v="ahmed.labib@oracle.com"/>
        <s v="habiba.e.el.matboly@oracle.com"/>
        <s v="khaled.r.rady@oracle.com"/>
        <s v="satyam.k.kumar@oracle.com"/>
        <s v="sanjeev.s.gupta@oracle.com"/>
        <s v="asmaa.murad@oracle.com"/>
        <s v="ayman.s.shawky@oracle.com"/>
        <s v="hazem.k.khaled@oracle.com"/>
        <s v="ashish.ab.sharma@oracle.com"/>
        <s v="raju.vishwakarma@oracle.com"/>
        <s v="khloud.samir@oracle.com"/>
        <s v="ziad.diaa@oracle.com"/>
        <s v="amr.h.hossam@oracle.com"/>
        <s v="piyush.deshpande@oracle.com"/>
        <s v="ahmed.k.kassem@oracle.com"/>
        <s v="ahmed.abdel.aziz@oracle.com"/>
        <s v="deepak.n.gupta@oracle.com"/>
        <s v="harshal.devkar@oracle.com"/>
        <s v="hemant.shrimali@oracle.com"/>
        <s v="ishwar.patil@oracle.com"/>
        <s v="sampat.achary@oracle.com"/>
        <s v="sudhalakshmi.gavirni@oracle.com"/>
        <s v="osama.s.salah@oracle.com"/>
        <s v="mostafa.ashraf.farouk@oracle.com"/>
        <s v="mohamed.abdel.sabour@oracle.com"/>
        <m/>
      </sharedItems>
    </cacheField>
    <cacheField name="Quantity" numFmtId="0">
      <sharedItems containsString="0" containsBlank="1" containsNumber="1" minValue="1" maxValue="16"/>
    </cacheField>
    <cacheField name="Quarters" numFmtId="0" databaseField="0">
      <fieldGroup base="0">
        <rangePr groupBy="quarters" startDate="2025-08-08T00:00:00" endDate="2026-08-08T00:00:00"/>
        <groupItems count="6">
          <s v="&lt;8/8/2025"/>
          <s v="Qtr1"/>
          <s v="Qtr2"/>
          <s v="Qtr3"/>
          <s v="Qtr4"/>
          <s v="&gt;8/8/2026"/>
        </groupItems>
      </fieldGroup>
    </cacheField>
    <cacheField name="Years" numFmtId="0" databaseField="0">
      <fieldGroup base="0">
        <rangePr groupBy="years" startDate="2025-08-08T00:00:00" endDate="2026-08-08T00:00:00"/>
        <groupItems count="4">
          <s v="&lt;8/8/2025"/>
          <s v="2025"/>
          <s v="2026"/>
          <s v="&gt;8/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a Ramy" refreshedDate="46238.732620601855" createdVersion="8" refreshedVersion="8" minRefreshableVersion="3" recordCount="1084" xr:uid="{2D37A673-7EE3-4005-9537-9870F7FFAB3D}">
  <cacheSource type="worksheet">
    <worksheetSource ref="A1:AO1048576" sheet="Sheet3" r:id="rId2"/>
  </cacheSource>
  <cacheFields count="43">
    <cacheField name="Project Business Unit" numFmtId="0">
      <sharedItems containsBlank="1"/>
    </cacheField>
    <cacheField name="Project Company Code" numFmtId="0">
      <sharedItems containsBlank="1"/>
    </cacheField>
    <cacheField name="Project Cost Center" numFmtId="0">
      <sharedItems containsBlank="1"/>
    </cacheField>
    <cacheField name="Project Number" numFmtId="0">
      <sharedItems containsBlank="1" count="3">
        <s v="400379228"/>
        <s v="1082"/>
        <m/>
      </sharedItems>
    </cacheField>
    <cacheField name="Project Name" numFmtId="0">
      <sharedItems containsBlank="1" count="2">
        <s v="A7ZNQZ_ FP_TECH TAQA Fusion Analytics Accelerator CLOUD"/>
        <m/>
      </sharedItems>
    </cacheField>
    <cacheField name="Expansion Country Project Number" numFmtId="0">
      <sharedItems containsNonDate="0" containsString="0" containsBlank="1"/>
    </cacheField>
    <cacheField name="Project Type" numFmtId="0">
      <sharedItems containsBlank="1"/>
    </cacheField>
    <cacheField name="Project Status" numFmtId="0">
      <sharedItems containsBlank="1"/>
    </cacheField>
    <cacheField name="Project Manager Email" numFmtId="0">
      <sharedItems containsBlank="1"/>
    </cacheField>
    <cacheField name="Contract Customer Name" numFmtId="0">
      <sharedItems containsBlank="1"/>
    </cacheField>
    <cacheField name="Contract Number" numFmtId="0">
      <sharedItems containsBlank="1"/>
    </cacheField>
    <cacheField name="Contract Name" numFmtId="0">
      <sharedItems containsBlank="1"/>
    </cacheField>
    <cacheField name="Contract Line Number" numFmtId="0">
      <sharedItems containsBlank="1"/>
    </cacheField>
    <cacheField name="Contract Line Name" numFmtId="0">
      <sharedItems containsBlank="1"/>
    </cacheField>
    <cacheField name="Transaction Number" numFmtId="0">
      <sharedItems containsBlank="1"/>
    </cacheField>
    <cacheField name="Original Transaction Reference" numFmtId="0">
      <sharedItems containsBlank="1"/>
    </cacheField>
    <cacheField name="Task Number" numFmtId="0">
      <sharedItems containsBlank="1"/>
    </cacheField>
    <cacheField name="Task Name" numFmtId="0">
      <sharedItems containsBlank="1"/>
    </cacheField>
    <cacheField name="Expenditure Type" numFmtId="0">
      <sharedItems containsBlank="1"/>
    </cacheField>
    <cacheField name="Work Type Code " numFmtId="0">
      <sharedItems containsBlank="1"/>
    </cacheField>
    <cacheField name="Expenditure Item Date" numFmtId="0">
      <sharedItems containsNonDate="0" containsDate="1" containsString="0" containsBlank="1" minDate="2026-01-27T00:00:00" maxDate="2026-08-05T00:00:00"/>
    </cacheField>
    <cacheField name="Week Ending Date " numFmtId="0">
      <sharedItems containsNonDate="0" containsDate="1" containsString="0" containsBlank="1" minDate="2026-01-30T00:00:00" maxDate="2026-08-08T00:00:00" count="27">
        <d v="2026-01-30T00:00:00"/>
        <d v="2026-02-06T00:00:00"/>
        <d v="2026-02-13T00:00:00"/>
        <d v="2026-02-20T00:00:00"/>
        <d v="2026-02-27T00:00:00"/>
        <d v="2026-03-06T00:00:00"/>
        <d v="2026-03-13T00:00:00"/>
        <d v="2026-03-20T00:00:00"/>
        <d v="2026-03-27T00:00:00"/>
        <d v="2026-04-03T00:00:00"/>
        <d v="2026-04-10T00:00:00"/>
        <d v="2026-04-17T00:00:00"/>
        <d v="2026-04-24T00:00:00"/>
        <d v="2026-05-01T00:00:00"/>
        <d v="2026-05-08T00:00:00"/>
        <d v="2026-05-15T00:00:00"/>
        <d v="2026-06-05T00:00:00"/>
        <d v="2026-06-12T00:00:00"/>
        <d v="2026-06-19T00:00:00"/>
        <d v="2026-06-26T00:00:00"/>
        <d v="2026-07-03T00:00:00"/>
        <d v="2026-07-10T00:00:00"/>
        <d v="2026-07-17T00:00:00"/>
        <d v="2026-07-24T00:00:00"/>
        <d v="2026-07-31T00:00:00"/>
        <d v="2026-08-07T00:00:00"/>
        <m/>
      </sharedItems>
      <fieldGroup par="42"/>
    </cacheField>
    <cacheField name="Person Email" numFmtId="0">
      <sharedItems containsBlank="1" count="30">
        <s v="ahmed.h.hassan@oracle.com"/>
        <s v="ahmed.n.nasr@oracle.com"/>
        <s v="asmaa.i.ibrahim@oracle.com"/>
        <s v="kishore.babu.katta@oracle.com"/>
        <s v="moustafa.ahmed@oracle.com"/>
        <s v="ali.omar.hasan@oracle.com"/>
        <s v="basma.elsaify@oracle.com"/>
        <s v="ebrahim.youssri@oracle.com"/>
        <s v="mostafa.mahmoud@oracle.com"/>
        <s v="tarek.abo.ali@oracle.com"/>
        <s v="karim.kh.hassan@oracle.com"/>
        <s v="ahmed.a.said@oracle.com"/>
        <s v="balaji.ketti@oracle.com"/>
        <s v="vikram.v.batchu@oracle.com"/>
        <s v="khaled.selim@oracle.com"/>
        <s v="kyrillos.nagy@oracle.com"/>
        <s v="ahmed.labib@oracle.com"/>
        <s v="menna.allah.shaaban@oracle.com"/>
        <s v="mohamed.m.ragab@oracle.com"/>
        <s v="reem.a.amin@oracle.com"/>
        <s v="anirban.basu@oracle.com"/>
        <s v="vijayalakshmi.jayakumar@oracle.com"/>
        <s v="rawan.ismail@oracle.com"/>
        <s v="manisekaran.seetharaman@oracle.com"/>
        <s v="ahmed.aa.attia@oracle.com"/>
        <s v="mayank.y.raj@oracle.com"/>
        <s v="amr.h.hossam@oracle.com"/>
        <s v="ajith.thota@oracle.com"/>
        <s v="khulode.emad.el-din@oracle.com"/>
        <m/>
      </sharedItems>
    </cacheField>
    <cacheField name="Person Type" numFmtId="0">
      <sharedItems containsBlank="1"/>
    </cacheField>
    <cacheField name="Person Consulting Job Level" numFmtId="0">
      <sharedItems containsBlank="1"/>
    </cacheField>
    <cacheField name="Person Business Unit" numFmtId="0">
      <sharedItems containsBlank="1"/>
    </cacheField>
    <cacheField name="Person Organization" numFmtId="0">
      <sharedItems containsBlank="1"/>
    </cacheField>
    <cacheField name="Person Company Code" numFmtId="0">
      <sharedItems containsBlank="1"/>
    </cacheField>
    <cacheField name="Costed Flag" numFmtId="0">
      <sharedItems containsBlank="1"/>
    </cacheField>
    <cacheField name="Billable Flag " numFmtId="0">
      <sharedItems containsBlank="1"/>
    </cacheField>
    <cacheField name="Revenue Distributed Flag" numFmtId="0">
      <sharedItems containsBlank="1"/>
    </cacheField>
    <cacheField name="Quantity" numFmtId="0">
      <sharedItems containsString="0" containsBlank="1" containsNumber="1" minValue="1" maxValue="16"/>
    </cacheField>
    <cacheField name="Currency" numFmtId="0">
      <sharedItems containsBlank="1"/>
    </cacheField>
    <cacheField name="Cost Rate" numFmtId="0">
      <sharedItems containsString="0" containsBlank="1" containsNumber="1" minValue="35.229999999999997" maxValue="589.6"/>
    </cacheField>
    <cacheField name="Bill Rate" numFmtId="0">
      <sharedItems containsString="0" containsBlank="1" containsNumber="1" minValue="353.64" maxValue="943.05"/>
    </cacheField>
    <cacheField name="Cost Value " numFmtId="0">
      <sharedItems containsString="0" containsBlank="1" containsNumber="1" minValue="-123.44" maxValue="6933.92"/>
    </cacheField>
    <cacheField name="Recognized Revenue (Labor)" numFmtId="0">
      <sharedItems containsString="0" containsBlank="1" containsNumber="1" containsInteger="1" minValue="0" maxValue="0"/>
    </cacheField>
    <cacheField name="Revenue yet to be recognized (Labor) " numFmtId="0">
      <sharedItems containsString="0" containsBlank="1" containsNumber="1" minValue="0" maxValue="13014.04"/>
    </cacheField>
    <cacheField name="Recognized Revenue (Expense) " numFmtId="0">
      <sharedItems containsString="0" containsBlank="1" containsNumber="1" containsInteger="1" minValue="0" maxValue="0"/>
    </cacheField>
    <cacheField name="Revenue yet to be recognized (Expense) " numFmtId="0">
      <sharedItems containsString="0" containsBlank="1" containsNumber="1" minValue="-123.44" maxValue="1866.28"/>
    </cacheField>
    <cacheField name="Expenditure Comment" numFmtId="0">
      <sharedItems containsBlank="1"/>
    </cacheField>
    <cacheField name="Days (Week Ending Date )" numFmtId="0" databaseField="0">
      <fieldGroup base="21">
        <rangePr groupBy="days" startDate="2026-01-30T00:00:00" endDate="2026-08-08T00:00:00"/>
        <groupItems count="368">
          <s v="&lt;30-01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8-08-26"/>
        </groupItems>
      </fieldGroup>
    </cacheField>
    <cacheField name="Months (Week Ending Date )" numFmtId="0" databaseField="0">
      <fieldGroup base="21">
        <rangePr groupBy="months" startDate="2026-01-30T00:00:00" endDate="2026-08-08T00:00:00"/>
        <groupItems count="14">
          <s v="&lt;30-01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8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44.485654282405" createdVersion="8" refreshedVersion="8" minRefreshableVersion="3" recordCount="2679" xr:uid="{1D65A4A5-969E-4830-A496-507AF8ACA171}">
  <cacheSource type="worksheet">
    <worksheetSource ref="A1:AO2680" sheet="Sheet1" r:id="rId2"/>
  </cacheSource>
  <cacheFields count="43">
    <cacheField name="Project Business Unit" numFmtId="0">
      <sharedItems containsBlank="1"/>
    </cacheField>
    <cacheField name="Project Company Code" numFmtId="0">
      <sharedItems containsBlank="1"/>
    </cacheField>
    <cacheField name="Project Cost Center" numFmtId="0">
      <sharedItems/>
    </cacheField>
    <cacheField name="Project Number" numFmtId="0">
      <sharedItems/>
    </cacheField>
    <cacheField name="Project Name" numFmtId="0">
      <sharedItems containsBlank="1" count="3">
        <s v="A57DJN _FP Etisalat TECH   DRCC WL Migration cloud"/>
        <s v="A8YLGG_FP_COMBO_CSS_OMANTEL_Workload Mig"/>
        <m/>
      </sharedItems>
    </cacheField>
    <cacheField name="Expansion Country Project Number" numFmtId="0">
      <sharedItems containsNonDate="0" containsString="0" containsBlank="1"/>
    </cacheField>
    <cacheField name="Project Type" numFmtId="0">
      <sharedItems containsBlank="1"/>
    </cacheField>
    <cacheField name="Project Status" numFmtId="0">
      <sharedItems containsBlank="1"/>
    </cacheField>
    <cacheField name="Project Manager Email" numFmtId="0">
      <sharedItems containsBlank="1"/>
    </cacheField>
    <cacheField name="Contract Customer Name" numFmtId="0">
      <sharedItems containsBlank="1"/>
    </cacheField>
    <cacheField name="Contract Number" numFmtId="0">
      <sharedItems containsBlank="1"/>
    </cacheField>
    <cacheField name="Contract Name" numFmtId="0">
      <sharedItems containsBlank="1"/>
    </cacheField>
    <cacheField name="Contract Line Number" numFmtId="0">
      <sharedItems containsBlank="1"/>
    </cacheField>
    <cacheField name="Contract Line Name" numFmtId="0">
      <sharedItems containsBlank="1"/>
    </cacheField>
    <cacheField name="Transaction Number" numFmtId="0">
      <sharedItems containsBlank="1"/>
    </cacheField>
    <cacheField name="Original Transaction Reference" numFmtId="0">
      <sharedItems containsBlank="1"/>
    </cacheField>
    <cacheField name="Task Number" numFmtId="0">
      <sharedItems containsBlank="1"/>
    </cacheField>
    <cacheField name="Task Name" numFmtId="0">
      <sharedItems containsBlank="1"/>
    </cacheField>
    <cacheField name="Expenditure Type" numFmtId="0">
      <sharedItems containsBlank="1"/>
    </cacheField>
    <cacheField name="Work Type Code " numFmtId="0">
      <sharedItems containsBlank="1"/>
    </cacheField>
    <cacheField name="Expenditure Item Date" numFmtId="0">
      <sharedItems containsNonDate="0" containsDate="1" containsString="0" containsBlank="1" minDate="2026-01-01T00:00:00" maxDate="2026-08-08T00:00:00"/>
    </cacheField>
    <cacheField name="Week Ending Date " numFmtId="0">
      <sharedItems containsNonDate="0" containsDate="1" containsString="0" containsBlank="1" minDate="2026-01-02T00:00:00" maxDate="2026-08-08T00:00:00" count="33">
        <d v="2026-01-02T00:00:00"/>
        <d v="2026-01-09T00:00:00"/>
        <d v="2026-01-16T00:00:00"/>
        <d v="2026-01-23T00:00:00"/>
        <d v="2026-01-30T00:00:00"/>
        <d v="2026-02-06T00:00:00"/>
        <d v="2026-02-13T00:00:00"/>
        <d v="2026-02-20T00:00:00"/>
        <d v="2026-02-27T00:00:00"/>
        <d v="2026-03-06T00:00:00"/>
        <d v="2026-03-13T00:00:00"/>
        <d v="2026-03-20T00:00:00"/>
        <d v="2026-03-27T00:00:00"/>
        <d v="2026-04-03T00:00:00"/>
        <d v="2026-04-10T00:00:00"/>
        <d v="2026-04-17T00:00:00"/>
        <d v="2026-04-24T00:00:00"/>
        <d v="2026-05-01T00:00:00"/>
        <d v="2026-05-08T00:00:00"/>
        <d v="2026-05-15T00:00:00"/>
        <d v="2026-06-19T00:00:00"/>
        <d v="2026-06-26T00:00:00"/>
        <d v="2026-07-03T00:00:00"/>
        <d v="2026-07-10T00:00:00"/>
        <d v="2026-07-17T00:00:00"/>
        <d v="2026-07-24T00:00:00"/>
        <d v="2026-07-31T00:00:00"/>
        <d v="2026-08-07T00:00:00"/>
        <d v="2026-06-05T00:00:00"/>
        <d v="2026-06-12T00:00:00"/>
        <d v="2026-05-22T00:00:00"/>
        <d v="2026-05-29T00:00:00"/>
        <m/>
      </sharedItems>
      <fieldGroup par="42"/>
    </cacheField>
    <cacheField name="Person Email" numFmtId="0">
      <sharedItems containsBlank="1" count="47">
        <s v="ali.omar.hasan@oracle.com"/>
        <s v="asmaa.murad@oracle.com"/>
        <s v="rawan.ismail@oracle.com"/>
        <s v="koustubh.kanetkar@oracle.com"/>
        <s v="pedro.ribeiro@oracle.com"/>
        <s v="francesco.sabiu@oracle.com"/>
        <s v="vasilios.moschos@oracle.com"/>
        <s v="konstantinos.p.pateras@oracle.com"/>
        <s v="asmaa.i.ibrahim@oracle.com"/>
        <s v="ahmed.h.hassan@oracle.com"/>
        <s v="arnab.naskar@oracle.com"/>
        <s v="prashant.deshappanavar@oracle.com"/>
        <s v="karim.khaled@oracle.com"/>
        <s v="khaled.r.rady@oracle.com"/>
        <s v="ahmed.k.kassem@oracle.com"/>
        <s v="aravind.gidijala@oracle.com"/>
        <s v="atchyut.kumar.medarametla@oracle.com"/>
        <s v="deepak.n.gupta@oracle.com"/>
        <s v="harikaran.s@oracle.com"/>
        <s v="harshal.devkar@oracle.com"/>
        <s v="himanshu.n.nayak@oracle.com"/>
        <s v="ishwar.patil@oracle.com"/>
        <s v="md.shareef@oracle.com"/>
        <s v="sam.jebastin.joseph@oracle.com"/>
        <s v="sharavanakumar.k.k.v@oracle.com"/>
        <s v="srinivasan.venkat.raman@oracle.com"/>
        <s v="ahmed.fahim@oracle.com"/>
        <s v="ashish.ac.sharma@oracle.com"/>
        <s v="hemant.shrimali@oracle.com"/>
        <s v="kalyan.vunnam@oracle.com"/>
        <s v="rana.ramy@oracle.com"/>
        <s v="sampat.achary@oracle.com"/>
        <s v="sudhalakshmi.gavirni@oracle.com"/>
        <s v="veera.ramadoss@oracle.com"/>
        <s v="abdel.rahman.esmat@oracle.com"/>
        <s v="khaled.k.abbady@oracle.com"/>
        <s v="parthiban.ilango@oracle.com"/>
        <s v="arindam.sadhukhan@oracle.com"/>
        <s v="omar.hefnawy@oracle.com"/>
        <s v="marwa.g.gamal@oracle.com"/>
        <s v="ahmed.ma.maher@oracle.com"/>
        <s v="amr.osama@oracle.com"/>
        <s v="ahmed.abdel.aziz@oracle.com"/>
        <s v="ahmed.labib@oracle.com"/>
        <s v="amr.h.hossam@oracle.com"/>
        <s v="ahmed.moheb@oracle.com"/>
        <m/>
      </sharedItems>
    </cacheField>
    <cacheField name="Person Type" numFmtId="0">
      <sharedItems containsBlank="1"/>
    </cacheField>
    <cacheField name="Person Consulting Job Level" numFmtId="0">
      <sharedItems containsBlank="1"/>
    </cacheField>
    <cacheField name="Person Business Unit" numFmtId="0">
      <sharedItems containsBlank="1"/>
    </cacheField>
    <cacheField name="Person Organization" numFmtId="0">
      <sharedItems containsBlank="1"/>
    </cacheField>
    <cacheField name="Person Company Code" numFmtId="0">
      <sharedItems containsBlank="1"/>
    </cacheField>
    <cacheField name="Costed Flag" numFmtId="0">
      <sharedItems containsBlank="1"/>
    </cacheField>
    <cacheField name="Billable Flag " numFmtId="0">
      <sharedItems containsBlank="1"/>
    </cacheField>
    <cacheField name="Revenue Distributed Flag" numFmtId="0">
      <sharedItems containsBlank="1"/>
    </cacheField>
    <cacheField name="Quantity" numFmtId="0">
      <sharedItems containsString="0" containsBlank="1" containsNumber="1" minValue="-8" maxValue="20"/>
    </cacheField>
    <cacheField name="Currency" numFmtId="0">
      <sharedItems containsBlank="1"/>
    </cacheField>
    <cacheField name="Cost Rate" numFmtId="0">
      <sharedItems containsString="0" containsBlank="1" containsNumber="1" minValue="51.89" maxValue="433.37"/>
    </cacheField>
    <cacheField name="Bill Rate" numFmtId="0">
      <sharedItems containsString="0" containsBlank="1" containsNumber="1" minValue="471.52" maxValue="943.05"/>
    </cacheField>
    <cacheField name="Cost Value " numFmtId="0">
      <sharedItems containsString="0" containsBlank="1" containsNumber="1" minValue="-2650" maxValue="6933.92"/>
    </cacheField>
    <cacheField name="Recognized Revenue (Labor)" numFmtId="0">
      <sharedItems containsString="0" containsBlank="1" containsNumber="1" containsInteger="1" minValue="0" maxValue="0"/>
    </cacheField>
    <cacheField name="Revenue yet to be recognized (Labor) " numFmtId="0">
      <sharedItems containsString="0" containsBlank="1" containsNumber="1" minValue="-4338" maxValue="15088.71"/>
    </cacheField>
    <cacheField name="Recognized Revenue (Expense) " numFmtId="0">
      <sharedItems containsString="0" containsBlank="1" containsNumber="1" containsInteger="1" minValue="0" maxValue="0"/>
    </cacheField>
    <cacheField name="Revenue yet to be recognized (Expense) " numFmtId="0">
      <sharedItems containsString="0" containsBlank="1" containsNumber="1" minValue="-485.34" maxValue="6725.86"/>
    </cacheField>
    <cacheField name="Expenditure Comment" numFmtId="0">
      <sharedItems containsBlank="1"/>
    </cacheField>
    <cacheField name="Days (Week Ending Date )" numFmtId="0" databaseField="0">
      <fieldGroup base="21">
        <rangePr groupBy="days" startDate="2026-01-02T00:00:00" endDate="2026-08-08T00:00:00"/>
        <groupItems count="368">
          <s v="&lt;02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8/08/2026"/>
        </groupItems>
      </fieldGroup>
    </cacheField>
    <cacheField name="Months (Week Ending Date )" numFmtId="0" databaseField="0">
      <fieldGroup base="21">
        <rangePr groupBy="months" startDate="2026-01-02T00:00:00" endDate="2026-08-08T00:00:00"/>
        <groupItems count="14">
          <s v="&lt;02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5689949E8"/>
    <s v="3029637468412191"/>
    <s v="1.01.00"/>
    <s v="FP Labor -Billable Cost"/>
    <s v="Labor"/>
    <s v="CO-C"/>
    <x v="0"/>
    <x v="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5689948E8"/>
    <s v="3029637468412211"/>
    <s v="1.01.00"/>
    <s v="FP Labor -Billable Cost"/>
    <s v="Labor"/>
    <s v="CO-C"/>
    <x v="1"/>
    <x v="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807E8"/>
    <s v="3029648546344131"/>
    <s v="1.01.00"/>
    <s v="FP Labor -Billable Cost"/>
    <s v="Labor"/>
    <s v="CO-C"/>
    <x v="2"/>
    <x v="0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806E8"/>
    <s v="3029648546344151"/>
    <s v="1.01.00"/>
    <s v="FP Labor -Billable Cost"/>
    <s v="Labor"/>
    <s v="CO-C"/>
    <x v="3"/>
    <x v="0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867E8"/>
    <s v="3029640927455082"/>
    <s v="1.01.00"/>
    <s v="FP Labor -Billable Cost"/>
    <s v="Labor"/>
    <s v="CO-C"/>
    <x v="4"/>
    <x v="1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5689955E8"/>
    <s v="3029637468415251"/>
    <s v="1.01.00"/>
    <s v="FP Labor -Billable Cost"/>
    <s v="Labor"/>
    <s v="CO-C"/>
    <x v="4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844E8"/>
    <s v="3029640927455102"/>
    <s v="1.01.00"/>
    <s v="FP Labor -Billable Cost"/>
    <s v="Labor"/>
    <s v="CO-C"/>
    <x v="5"/>
    <x v="1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5689954E8"/>
    <s v="3029637468415271"/>
    <s v="1.01.00"/>
    <s v="FP Labor -Billable Cost"/>
    <s v="Labor"/>
    <s v="CO-C"/>
    <x v="5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842E8"/>
    <s v="3029640927455122"/>
    <s v="1.01.00"/>
    <s v="FP Labor -Billable Cost"/>
    <s v="Labor"/>
    <s v="CO-C"/>
    <x v="6"/>
    <x v="1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84E8"/>
    <s v="3029640927455142"/>
    <s v="1.01.00"/>
    <s v="FP Labor -Billable Cost"/>
    <s v="Labor"/>
    <s v="CO-C"/>
    <x v="7"/>
    <x v="1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804E8"/>
    <s v="3029640927455162"/>
    <s v="1.01.00"/>
    <s v="FP Labor -Billable Cost"/>
    <s v="Labor"/>
    <s v="CO-C"/>
    <x v="8"/>
    <x v="1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69E8"/>
    <s v="3029640925696832"/>
    <s v="1.01.00"/>
    <s v="FP Labor -Billable Cost"/>
    <s v="Labor"/>
    <s v="CO-C"/>
    <x v="9"/>
    <x v="2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635259E8"/>
    <s v="3029640443007721"/>
    <s v="1.01.00"/>
    <s v="FP Labor -Billable Cost"/>
    <s v="Labor"/>
    <s v="CO-C"/>
    <x v="9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655E8"/>
    <s v="3029640925696852"/>
    <s v="1.01.00"/>
    <s v="FP Labor -Billable Cost"/>
    <s v="Labor"/>
    <s v="CO-C"/>
    <x v="10"/>
    <x v="2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635257E8"/>
    <s v="3029640443007741"/>
    <s v="1.01.00"/>
    <s v="FP Labor -Billable Cost"/>
    <s v="Labor"/>
    <s v="CO-C"/>
    <x v="1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623E8"/>
    <s v="3029640925696872"/>
    <s v="1.01.00"/>
    <s v="FP Labor -Billable Cost"/>
    <s v="Labor"/>
    <s v="CO-C"/>
    <x v="11"/>
    <x v="2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635256E8"/>
    <s v="3029640443007761"/>
    <s v="1.01.00"/>
    <s v="FP Labor -Billable Cost"/>
    <s v="Labor"/>
    <s v="CO-C"/>
    <x v="11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621E8"/>
    <s v="3029640925696892"/>
    <s v="1.01.00"/>
    <s v="FP Labor -Billable Cost"/>
    <s v="Labor"/>
    <s v="CO-C"/>
    <x v="12"/>
    <x v="2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619E8"/>
    <s v="3029640925696912"/>
    <s v="1.01.00"/>
    <s v="FP Labor -Billable Cost"/>
    <s v="Labor"/>
    <s v="CO-C"/>
    <x v="13"/>
    <x v="2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715E8"/>
    <s v="3029640929013331"/>
    <s v="1.01.00"/>
    <s v="FP Labor -Billable Cost"/>
    <s v="Labor"/>
    <s v="CO-C"/>
    <x v="14"/>
    <x v="3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697905E8"/>
    <s v="3029636009106183"/>
    <s v="1.01.00"/>
    <s v="FP Labor -Billable Cost"/>
    <s v="Labor"/>
    <s v="CO-C"/>
    <x v="14"/>
    <x v="3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694E8"/>
    <s v="3029640929013351"/>
    <s v="1.01.00"/>
    <s v="FP Labor -Billable Cost"/>
    <s v="Labor"/>
    <s v="CO-C"/>
    <x v="15"/>
    <x v="3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697903E8"/>
    <s v="3029636009106203"/>
    <s v="1.01.00"/>
    <s v="FP Labor -Billable Cost"/>
    <s v="Labor"/>
    <s v="CO-C"/>
    <x v="15"/>
    <x v="3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693E8"/>
    <s v="3029640929013371"/>
    <s v="1.01.00"/>
    <s v="FP Labor -Billable Cost"/>
    <s v="Labor"/>
    <s v="CO-C"/>
    <x v="16"/>
    <x v="3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770339E8"/>
    <s v="3029640537610531"/>
    <s v="1.01.00"/>
    <s v="FP Labor -Billable Cost"/>
    <s v="Labor"/>
    <s v="CO-C"/>
    <x v="16"/>
    <x v="3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6855E8"/>
    <s v="3029636009106223"/>
    <s v="1.01.00"/>
    <s v="FP Labor -Billable Cost"/>
    <s v="Labor"/>
    <s v="CO-C"/>
    <x v="16"/>
    <x v="3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717E8"/>
    <s v="3029640929013391"/>
    <s v="1.01.00"/>
    <s v="FP Labor -Billable Cost"/>
    <s v="Labor"/>
    <s v="CO-C"/>
    <x v="17"/>
    <x v="3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820628E8"/>
    <s v="3029640537610551"/>
    <s v="1.01.00"/>
    <s v="FP Labor -Billable Cost"/>
    <s v="Labor"/>
    <s v="CO-C"/>
    <x v="17"/>
    <x v="3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869098E8"/>
    <s v="3029636009106243"/>
    <s v="1.01.00"/>
    <s v="FP Labor -Billable Cost"/>
    <s v="Labor"/>
    <s v="CO-C"/>
    <x v="17"/>
    <x v="3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546E8"/>
    <s v="3029648542845991"/>
    <s v="1.01.00"/>
    <s v="FP Labor -Billable Cost"/>
    <s v="Labor"/>
    <s v="CO-C"/>
    <x v="18"/>
    <x v="3"/>
    <x v="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004286E8"/>
    <s v="3029640537610571"/>
    <s v="1.01.00"/>
    <s v="FP Labor -Billable Cost"/>
    <s v="Labor"/>
    <s v="CO-C"/>
    <x v="18"/>
    <x v="3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601E8"/>
    <s v="3029640930751221"/>
    <s v="1.01.00"/>
    <s v="FP Labor -Billable Cost"/>
    <s v="Labor"/>
    <s v="CO-C"/>
    <x v="19"/>
    <x v="4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43115E8"/>
    <s v="3029643131797661"/>
    <s v="1.01.00"/>
    <s v="FP Labor -Billable Cost"/>
    <s v="Labor"/>
    <s v="CO-C"/>
    <x v="19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4214E8"/>
    <s v="3029640822344911"/>
    <s v="1.01.00"/>
    <s v="FP Labor -Billable Cost"/>
    <s v="Labor"/>
    <s v="CO-C"/>
    <x v="19"/>
    <x v="4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6E8"/>
    <s v="3029640930751241"/>
    <s v="1.01.00"/>
    <s v="FP Labor -Billable Cost"/>
    <s v="Labor"/>
    <s v="CO-C"/>
    <x v="20"/>
    <x v="4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43114E8"/>
    <s v="3029643131797681"/>
    <s v="1.01.00"/>
    <s v="FP Labor -Billable Cost"/>
    <s v="Labor"/>
    <s v="CO-C"/>
    <x v="2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42139E8"/>
    <s v="3029640822344931"/>
    <s v="1.01.00"/>
    <s v="FP Labor -Billable Cost"/>
    <s v="Labor"/>
    <s v="CO-C"/>
    <x v="20"/>
    <x v="4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58E8"/>
    <s v="3029640930751261"/>
    <s v="1.01.00"/>
    <s v="FP Labor -Billable Cost"/>
    <s v="Labor"/>
    <s v="CO-C"/>
    <x v="21"/>
    <x v="4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43113E8"/>
    <s v="3029643131797701"/>
    <s v="1.01.00"/>
    <s v="FP Labor -Billable Cost"/>
    <s v="Labor"/>
    <s v="CO-C"/>
    <x v="21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12549E8"/>
    <s v="3029640539536771"/>
    <s v="1.01.00"/>
    <s v="FP Labor -Billable Cost"/>
    <s v="Labor"/>
    <s v="CO-C"/>
    <x v="21"/>
    <x v="4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42138E8"/>
    <s v="3029640822344951"/>
    <s v="1.01.00"/>
    <s v="FP Labor -Billable Cost"/>
    <s v="Labor"/>
    <s v="CO-C"/>
    <x v="21"/>
    <x v="4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579E8"/>
    <s v="3029640930751281"/>
    <s v="1.01.00"/>
    <s v="FP Labor -Billable Cost"/>
    <s v="Labor"/>
    <s v="CO-C"/>
    <x v="22"/>
    <x v="4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43112E8"/>
    <s v="3029643131797721"/>
    <s v="1.01.00"/>
    <s v="FP Labor -Billable Cost"/>
    <s v="Labor"/>
    <s v="CO-C"/>
    <x v="22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12548E8"/>
    <s v="3029640539536791"/>
    <s v="1.01.00"/>
    <s v="FP Labor -Billable Cost"/>
    <s v="Labor"/>
    <s v="CO-C"/>
    <x v="22"/>
    <x v="4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42137E8"/>
    <s v="3029640822344971"/>
    <s v="1.01.00"/>
    <s v="FP Labor -Billable Cost"/>
    <s v="Labor"/>
    <s v="CO-C"/>
    <x v="22"/>
    <x v="4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865E8"/>
    <s v="3029648543864641"/>
    <s v="1.01.00"/>
    <s v="FP Labor -Billable Cost"/>
    <s v="Labor"/>
    <s v="CO-C"/>
    <x v="23"/>
    <x v="4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521367E8"/>
    <s v="3029643131797741"/>
    <s v="1.01.00"/>
    <s v="FP Labor -Billable Cost"/>
    <s v="Labor"/>
    <s v="CO-C"/>
    <x v="23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500764E8"/>
    <s v="3029640539536811"/>
    <s v="1.01.00"/>
    <s v="FP Labor -Billable Cost"/>
    <s v="Labor"/>
    <s v="CO-C"/>
    <x v="23"/>
    <x v="4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5E8"/>
    <s v="3029648510788271"/>
    <s v="1.01.00"/>
    <s v="FP Labor -Billable Cost"/>
    <s v="Labor"/>
    <s v="CO-C"/>
    <x v="24"/>
    <x v="5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705146E8"/>
    <s v="3029643142025771"/>
    <s v="1.01.00"/>
    <s v="FP Labor -Billable Cost"/>
    <s v="Labor"/>
    <s v="CO-C"/>
    <x v="24"/>
    <x v="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2E8"/>
    <s v="3029653723480061"/>
    <s v="1.01.00"/>
    <s v="FP Labor -Billable Cost"/>
    <s v="Labor"/>
    <s v="CO-C"/>
    <x v="24"/>
    <x v="5"/>
    <x v="3"/>
    <s v="Employee"/>
    <s v="8"/>
    <s v="ORCL AE - Abu Dhabi"/>
    <s v="509505 - 75M: EMEA Digital - PaaS"/>
    <s v="069F"/>
    <s v="Y"/>
    <s v="Y"/>
    <s v="Unrecognized"/>
    <n v="4"/>
    <s v="AED"/>
    <n v="589.6"/>
    <n v="943.05"/>
    <n v="2358.4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53E8"/>
    <s v="3029623649464122"/>
    <s v="1.01.00"/>
    <s v="FP Labor -Billable Cost"/>
    <s v="Labor"/>
    <s v="CO-C"/>
    <x v="25"/>
    <x v="5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748799E8"/>
    <s v="3029643142025791"/>
    <s v="1.01.00"/>
    <s v="FP Labor -Billable Cost"/>
    <s v="Labor"/>
    <s v="CO-C"/>
    <x v="25"/>
    <x v="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97E8"/>
    <s v="3029653723480091"/>
    <s v="1.01.00"/>
    <s v="FP Labor -Billable Cost"/>
    <s v="Labor"/>
    <s v="CO-C"/>
    <x v="25"/>
    <x v="5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35E8"/>
    <s v="3029623649464142"/>
    <s v="1.01.00"/>
    <s v="FP Labor -Billable Cost"/>
    <s v="Labor"/>
    <s v="CO-C"/>
    <x v="26"/>
    <x v="5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16886E8"/>
    <s v="3029643142025811"/>
    <s v="1.01.00"/>
    <s v="FP Labor -Billable Cost"/>
    <s v="Labor"/>
    <s v="CO-C"/>
    <x v="26"/>
    <x v="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95E8"/>
    <s v="3029653723480111"/>
    <s v="1.01.00"/>
    <s v="FP Labor -Billable Cost"/>
    <s v="Labor"/>
    <s v="CO-C"/>
    <x v="26"/>
    <x v="5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33E8"/>
    <s v="3029623649464162"/>
    <s v="1.01.00"/>
    <s v="FP Labor -Billable Cost"/>
    <s v="Labor"/>
    <s v="CO-C"/>
    <x v="27"/>
    <x v="5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821E8"/>
    <s v="3029640545268571"/>
    <s v="1.01.00"/>
    <s v="FP Labor -Billable Cost"/>
    <s v="Labor"/>
    <s v="CO-C"/>
    <x v="27"/>
    <x v="5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31E8"/>
    <s v="3029623649464182"/>
    <s v="1.01.00"/>
    <s v="FP Labor -Billable Cost"/>
    <s v="Labor"/>
    <s v="CO-C"/>
    <x v="28"/>
    <x v="5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64492E8"/>
    <s v="3029640545268591"/>
    <s v="1.01.00"/>
    <s v="FP Labor -Billable Cost"/>
    <s v="Labor"/>
    <s v="CO-C"/>
    <x v="28"/>
    <x v="5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41E8"/>
    <s v="3029648505797961"/>
    <s v="1.01.00"/>
    <s v="FP Labor -Billable Cost"/>
    <s v="Labor"/>
    <s v="CO-C"/>
    <x v="29"/>
    <x v="6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39E8"/>
    <s v="3029648505797981"/>
    <s v="1.01.00"/>
    <s v="FP Labor -Billable Cost"/>
    <s v="Labor"/>
    <s v="CO-C"/>
    <x v="30"/>
    <x v="6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193971E8"/>
    <s v="3029643134780561"/>
    <s v="1.01.00"/>
    <s v="FP Labor -Billable Cost"/>
    <s v="Labor"/>
    <s v="CO-C"/>
    <x v="30"/>
    <x v="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9E8"/>
    <s v="3029653728461521"/>
    <s v="1.01.00"/>
    <s v="FP Labor -Billable Cost"/>
    <s v="Labor"/>
    <s v="CO-C"/>
    <x v="30"/>
    <x v="6"/>
    <x v="3"/>
    <s v="Employee"/>
    <s v="8"/>
    <s v="ORCL AE - Abu Dhabi"/>
    <s v="509505 - 75M: EMEA Digital - PaaS"/>
    <s v="069F"/>
    <s v="Y"/>
    <s v="Y"/>
    <s v="Unrecognized"/>
    <n v="4"/>
    <s v="AED"/>
    <n v="589.6"/>
    <n v="943.05"/>
    <n v="2358.4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194016E8"/>
    <s v="3029640823051911"/>
    <s v="1.01.00"/>
    <s v="FP Labor -Billable Cost"/>
    <s v="Labor"/>
    <s v="CO-C"/>
    <x v="30"/>
    <x v="6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37E8"/>
    <s v="3029623649012303"/>
    <s v="1.01.00"/>
    <s v="FP Labor -Billable Cost"/>
    <s v="Labor"/>
    <s v="CO-C"/>
    <x v="31"/>
    <x v="6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253029E8"/>
    <s v="3029643134780581"/>
    <s v="1.01.00"/>
    <s v="FP Labor -Billable Cost"/>
    <s v="Labor"/>
    <s v="CO-C"/>
    <x v="31"/>
    <x v="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88E8"/>
    <s v="3029653728461541"/>
    <s v="1.01.00"/>
    <s v="FP Labor -Billable Cost"/>
    <s v="Labor"/>
    <s v="CO-C"/>
    <x v="31"/>
    <x v="6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252961E8"/>
    <s v="3029640823051931"/>
    <s v="1.01.00"/>
    <s v="FP Labor -Billable Cost"/>
    <s v="Labor"/>
    <s v="CO-C"/>
    <x v="31"/>
    <x v="6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19E8"/>
    <s v="3029623649012322"/>
    <s v="1.01.00"/>
    <s v="FP Labor -Billable Cost"/>
    <s v="Labor"/>
    <s v="CO-C"/>
    <x v="32"/>
    <x v="6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295393E8"/>
    <s v="3029643134780601"/>
    <s v="1.01.00"/>
    <s v="FP Labor -Billable Cost"/>
    <s v="Labor"/>
    <s v="CO-C"/>
    <x v="32"/>
    <x v="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86E8"/>
    <s v="3029653728461561"/>
    <s v="1.01.00"/>
    <s v="FP Labor -Billable Cost"/>
    <s v="Labor"/>
    <s v="CO-C"/>
    <x v="32"/>
    <x v="6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295347E8"/>
    <s v="3029640823051951"/>
    <s v="1.01.00"/>
    <s v="FP Labor -Billable Cost"/>
    <s v="Labor"/>
    <s v="CO-C"/>
    <x v="32"/>
    <x v="6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17E8"/>
    <s v="3029623649012342"/>
    <s v="1.01.00"/>
    <s v="FP Labor -Billable Cost"/>
    <s v="Labor"/>
    <s v="CO-C"/>
    <x v="33"/>
    <x v="6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395037E8"/>
    <s v="3029640546862361"/>
    <s v="1.01.00"/>
    <s v="FP Labor -Billable Cost"/>
    <s v="Labor"/>
    <s v="CO-C"/>
    <x v="33"/>
    <x v="6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417334E8"/>
    <s v="3029640823051971"/>
    <s v="1.01.00"/>
    <s v="FP Labor -Billable Cost"/>
    <s v="Labor"/>
    <s v="CO-C"/>
    <x v="33"/>
    <x v="6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315E8"/>
    <s v="3029623649012362"/>
    <s v="1.01.00"/>
    <s v="FP Labor -Billable Cost"/>
    <s v="Labor"/>
    <s v="CO-C"/>
    <x v="34"/>
    <x v="6"/>
    <x v="4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481413E8"/>
    <s v="3029640546862381"/>
    <s v="1.01.00"/>
    <s v="FP Labor -Billable Cost"/>
    <s v="Labor"/>
    <s v="CO-C"/>
    <x v="34"/>
    <x v="6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1812E8"/>
    <s v="3029643132285461"/>
    <s v="1.01.00"/>
    <s v="FP Labor -Billable Cost"/>
    <s v="Labor"/>
    <s v="CO-C"/>
    <x v="35"/>
    <x v="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64E8"/>
    <s v="3029653729193741"/>
    <s v="1.01.00"/>
    <s v="FP Labor -Billable Cost"/>
    <s v="Labor"/>
    <s v="CO-C"/>
    <x v="35"/>
    <x v="7"/>
    <x v="3"/>
    <s v="Employee"/>
    <s v="8"/>
    <s v="ORCL AE - Abu Dhabi"/>
    <s v="509505 - 75M: EMEA Digital - PaaS"/>
    <s v="069F"/>
    <s v="Y"/>
    <s v="Y"/>
    <s v="Unrecognized"/>
    <n v="4"/>
    <s v="AED"/>
    <n v="589.6"/>
    <n v="943.05"/>
    <n v="2358.4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18116E8"/>
    <s v="3029640823323151"/>
    <s v="1.01.00"/>
    <s v="FP Labor -Billable Cost"/>
    <s v="Labor"/>
    <s v="CO-C"/>
    <x v="35"/>
    <x v="7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96056E8"/>
    <s v="3029643132285481"/>
    <s v="1.01.00"/>
    <s v="FP Labor -Billable Cost"/>
    <s v="Labor"/>
    <s v="CO-C"/>
    <x v="36"/>
    <x v="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62E8"/>
    <s v="3029653729193761"/>
    <s v="1.01.00"/>
    <s v="FP Labor -Billable Cost"/>
    <s v="Labor"/>
    <s v="CO-C"/>
    <x v="36"/>
    <x v="7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96063E8"/>
    <s v="3029640823323171"/>
    <s v="1.01.00"/>
    <s v="FP Labor -Billable Cost"/>
    <s v="Labor"/>
    <s v="CO-C"/>
    <x v="36"/>
    <x v="7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832568E8"/>
    <s v="3029643132285501"/>
    <s v="1.01.00"/>
    <s v="FP Labor -Billable Cost"/>
    <s v="Labor"/>
    <s v="CO-C"/>
    <x v="37"/>
    <x v="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6E8"/>
    <s v="3029653729193781"/>
    <s v="1.01.00"/>
    <s v="FP Labor -Billable Cost"/>
    <s v="Labor"/>
    <s v="CO-C"/>
    <x v="37"/>
    <x v="7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832567E8"/>
    <s v="3029640823323191"/>
    <s v="1.01.00"/>
    <s v="FP Labor -Billable Cost"/>
    <s v="Labor"/>
    <s v="CO-C"/>
    <x v="37"/>
    <x v="7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893753E8"/>
    <s v="3029640542119831"/>
    <s v="1.01.00"/>
    <s v="FP Labor -Billable Cost"/>
    <s v="Labor"/>
    <s v="CO-C"/>
    <x v="38"/>
    <x v="7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24123E8"/>
    <s v="3029640823323211"/>
    <s v="1.01.00"/>
    <s v="FP Labor -Billable Cost"/>
    <s v="Labor"/>
    <s v="CO-C"/>
    <x v="38"/>
    <x v="7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017916E8"/>
    <s v="3029640542119851"/>
    <s v="1.01.00"/>
    <s v="FP Labor -Billable Cost"/>
    <s v="Labor"/>
    <s v="CO-C"/>
    <x v="39"/>
    <x v="7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19E8"/>
    <s v="3029643128256881"/>
    <s v="1.01.00"/>
    <s v="FP Labor -Billable Cost"/>
    <s v="Labor"/>
    <s v="CO-C"/>
    <x v="40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71E8"/>
    <s v="3029653729182691"/>
    <s v="1.01.00"/>
    <s v="FP Labor -Billable Cost"/>
    <s v="Labor"/>
    <s v="CO-C"/>
    <x v="40"/>
    <x v="8"/>
    <x v="3"/>
    <s v="Employee"/>
    <s v="8"/>
    <s v="ORCL AE - Abu Dhabi"/>
    <s v="509505 - 75M: EMEA Digital - PaaS"/>
    <s v="069F"/>
    <s v="Y"/>
    <s v="Y"/>
    <s v="Unrecognized"/>
    <n v="4"/>
    <s v="AED"/>
    <n v="589.6"/>
    <n v="943.05"/>
    <n v="2358.4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284E8"/>
    <s v="3029640822786451"/>
    <s v="1.01.00"/>
    <s v="FP Labor -Billable Cost"/>
    <s v="Labor"/>
    <s v="CO-C"/>
    <x v="40"/>
    <x v="8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191E8"/>
    <s v="3029643128256901"/>
    <s v="1.01.00"/>
    <s v="FP Labor -Billable Cost"/>
    <s v="Labor"/>
    <s v="CO-C"/>
    <x v="41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69E8"/>
    <s v="3029653729182711"/>
    <s v="1.01.00"/>
    <s v="FP Labor -Billable Cost"/>
    <s v="Labor"/>
    <s v="CO-C"/>
    <x v="41"/>
    <x v="8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283E8"/>
    <s v="3029640822786471"/>
    <s v="1.01.00"/>
    <s v="FP Labor -Billable Cost"/>
    <s v="Labor"/>
    <s v="CO-C"/>
    <x v="41"/>
    <x v="8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1343E8"/>
    <s v="3029643128256921"/>
    <s v="1.01.00"/>
    <s v="FP Labor -Billable Cost"/>
    <s v="Labor"/>
    <s v="CO-C"/>
    <x v="42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59E8"/>
    <s v="3029653729182731"/>
    <s v="1.01.00"/>
    <s v="FP Labor -Billable Cost"/>
    <s v="Labor"/>
    <s v="CO-C"/>
    <x v="42"/>
    <x v="8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282E8"/>
    <s v="3029640822786491"/>
    <s v="1.01.00"/>
    <s v="FP Labor -Billable Cost"/>
    <s v="Labor"/>
    <s v="CO-C"/>
    <x v="42"/>
    <x v="8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1342E8"/>
    <s v="3029643128256941"/>
    <s v="1.01.00"/>
    <s v="FP Labor -Billable Cost"/>
    <s v="Labor"/>
    <s v="CO-C"/>
    <x v="43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362264E8"/>
    <s v="3029640544797571"/>
    <s v="1.01.00"/>
    <s v="FP Labor -Billable Cost"/>
    <s v="Labor"/>
    <s v="CO-C"/>
    <x v="43"/>
    <x v="8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281E8"/>
    <s v="3029640822786511"/>
    <s v="1.01.00"/>
    <s v="FP Labor -Billable Cost"/>
    <s v="Labor"/>
    <s v="CO-C"/>
    <x v="43"/>
    <x v="8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1341E8"/>
    <s v="3029643128256961"/>
    <s v="1.01.00"/>
    <s v="FP Labor -Billable Cost"/>
    <s v="Labor"/>
    <s v="CO-C"/>
    <x v="44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362244E8"/>
    <s v="3029640544797591"/>
    <s v="1.01.00"/>
    <s v="FP Labor -Billable Cost"/>
    <s v="Labor"/>
    <s v="CO-C"/>
    <x v="44"/>
    <x v="8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3827E8"/>
    <s v="3029643147458511"/>
    <s v="1.01.00"/>
    <s v="FP Labor -Billable Cost"/>
    <s v="Labor"/>
    <s v="CO-C"/>
    <x v="45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303E8"/>
    <s v="3029653480111291"/>
    <s v="1.01.00"/>
    <s v="FP Labor -Billable Cost"/>
    <s v="Labor"/>
    <s v="CO-C"/>
    <x v="45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93533E8"/>
    <s v="1537872513:1"/>
    <s v="1.01.00"/>
    <s v="FP Labor -Billable Cost"/>
    <s v="Labor"/>
    <s v="CO-C"/>
    <x v="45"/>
    <x v="9"/>
    <x v="5"/>
    <s v="Employee"/>
    <s v="7"/>
    <s v="ORCL ES"/>
    <s v="506516 - D9Z: EMEA OC Apps Delivery COE SCM"/>
    <s v="0017"/>
    <s v="Y"/>
    <s v="Y"/>
    <s v="Unrecognized"/>
    <n v="16"/>
    <s v="AED"/>
    <n v="333.42"/>
    <n v="813.38"/>
    <n v="5334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81E8"/>
    <s v="3029653727953411"/>
    <s v="1.01.00"/>
    <s v="FP Labor -Billable Cost"/>
    <s v="Labor"/>
    <s v="CO-C"/>
    <x v="45"/>
    <x v="9"/>
    <x v="3"/>
    <s v="Employee"/>
    <s v="8"/>
    <s v="ORCL AE - Abu Dhabi"/>
    <s v="509505 - 75M: EMEA Digital - PaaS"/>
    <s v="069F"/>
    <s v="Y"/>
    <s v="Y"/>
    <s v="Unrecognized"/>
    <n v="4"/>
    <s v="AED"/>
    <n v="589.6"/>
    <n v="943.05"/>
    <n v="2358.4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139E8"/>
    <s v="3029640823235571"/>
    <s v="1.01.00"/>
    <s v="FP Labor -Billable Cost"/>
    <s v="Labor"/>
    <s v="CO-C"/>
    <x v="45"/>
    <x v="9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3826E8"/>
    <s v="3029643147458531"/>
    <s v="1.01.00"/>
    <s v="FP Labor -Billable Cost"/>
    <s v="Labor"/>
    <s v="CO-C"/>
    <x v="46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302E8"/>
    <s v="3029653480111321"/>
    <s v="1.01.00"/>
    <s v="FP Labor -Billable Cost"/>
    <s v="Labor"/>
    <s v="CO-C"/>
    <x v="46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93622E8"/>
    <s v="1537872512:1"/>
    <s v="1.01.00"/>
    <s v="FP Labor -Billable Cost"/>
    <s v="Labor"/>
    <s v="CO-C"/>
    <x v="46"/>
    <x v="9"/>
    <x v="5"/>
    <s v="Employee"/>
    <s v="7"/>
    <s v="ORCL ES"/>
    <s v="506516 - D9Z: EMEA OC Apps Delivery COE SCM"/>
    <s v="0017"/>
    <s v="Y"/>
    <s v="Y"/>
    <s v="Unrecognized"/>
    <n v="16"/>
    <s v="AED"/>
    <n v="333.42"/>
    <n v="813.38"/>
    <n v="5334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79E8"/>
    <s v="3029653727953431"/>
    <s v="1.01.00"/>
    <s v="FP Labor -Billable Cost"/>
    <s v="Labor"/>
    <s v="CO-C"/>
    <x v="46"/>
    <x v="9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135E8"/>
    <s v="3029640823235591"/>
    <s v="1.01.00"/>
    <s v="FP Labor -Billable Cost"/>
    <s v="Labor"/>
    <s v="CO-C"/>
    <x v="46"/>
    <x v="9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1047E8"/>
    <s v="3029646028591701"/>
    <s v="1.01.00"/>
    <s v="FP Labor -Billable Cost"/>
    <s v="Labor"/>
    <s v="CO-C"/>
    <x v="46"/>
    <x v="9"/>
    <x v="6"/>
    <s v="Employee"/>
    <s v="8"/>
    <s v="ORCL AE"/>
    <s v="801065 - 7E9 - Consulting LOB - Plan Costs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75903E8"/>
    <s v="3029643147458551"/>
    <s v="1.01.00"/>
    <s v="FP Labor -Billable Cost"/>
    <s v="Labor"/>
    <s v="CO-C"/>
    <x v="47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301E8"/>
    <s v="3029653480111351"/>
    <s v="1.01.00"/>
    <s v="FP Labor -Billable Cost"/>
    <s v="Labor"/>
    <s v="CO-C"/>
    <x v="47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93924E8"/>
    <s v="1537872511:1"/>
    <s v="1.01.00"/>
    <s v="FP Labor -Billable Cost"/>
    <s v="Labor"/>
    <s v="CO-C"/>
    <x v="47"/>
    <x v="9"/>
    <x v="5"/>
    <s v="Employee"/>
    <s v="7"/>
    <s v="ORCL ES"/>
    <s v="506516 - D9Z: EMEA OC Apps Delivery COE SCM"/>
    <s v="0017"/>
    <s v="Y"/>
    <s v="Y"/>
    <s v="Unrecognized"/>
    <n v="16"/>
    <s v="AED"/>
    <n v="333.42"/>
    <n v="813.38"/>
    <n v="5334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77E8"/>
    <s v="3029653727953451"/>
    <s v="1.01.00"/>
    <s v="FP Labor -Billable Cost"/>
    <s v="Labor"/>
    <s v="CO-C"/>
    <x v="47"/>
    <x v="9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75871E8"/>
    <s v="3029640823235611"/>
    <s v="1.01.00"/>
    <s v="FP Labor -Billable Cost"/>
    <s v="Labor"/>
    <s v="CO-C"/>
    <x v="47"/>
    <x v="9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75872E8"/>
    <s v="3029646028591721"/>
    <s v="1.01.00"/>
    <s v="FP Labor -Billable Cost"/>
    <s v="Labor"/>
    <s v="CO-C"/>
    <x v="47"/>
    <x v="9"/>
    <x v="6"/>
    <s v="Employee"/>
    <s v="8"/>
    <s v="ORCL AE"/>
    <s v="801065 - 7E9 - Consulting LOB - Plan Costs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25523E8"/>
    <s v="3029643147458571"/>
    <s v="1.01.00"/>
    <s v="FP Labor -Billable Cost"/>
    <s v="Labor"/>
    <s v="CO-C"/>
    <x v="48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403E8"/>
    <s v="3029653480111381"/>
    <s v="1.01.00"/>
    <s v="FP Labor -Billable Cost"/>
    <s v="Labor"/>
    <s v="CO-C"/>
    <x v="48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94095E8"/>
    <s v="1537872510:1"/>
    <s v="1.01.00"/>
    <s v="FP Labor -Billable Cost"/>
    <s v="Labor"/>
    <s v="CO-C"/>
    <x v="48"/>
    <x v="9"/>
    <x v="5"/>
    <s v="Employee"/>
    <s v="7"/>
    <s v="ORCL ES"/>
    <s v="506516 - D9Z: EMEA OC Apps Delivery COE SCM"/>
    <s v="0017"/>
    <s v="Y"/>
    <s v="Y"/>
    <s v="Unrecognized"/>
    <n v="16"/>
    <s v="AED"/>
    <n v="333.42"/>
    <n v="813.38"/>
    <n v="5334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11141E8"/>
    <s v="3029640539387871"/>
    <s v="1.01.00"/>
    <s v="FP Labor -Billable Cost"/>
    <s v="Labor"/>
    <s v="CO-C"/>
    <x v="48"/>
    <x v="9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25432E8"/>
    <s v="3029640823235631"/>
    <s v="1.01.00"/>
    <s v="FP Labor -Billable Cost"/>
    <s v="Labor"/>
    <s v="CO-C"/>
    <x v="48"/>
    <x v="9"/>
    <x v="2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25438E8"/>
    <s v="3029646028591741"/>
    <s v="1.01.00"/>
    <s v="FP Labor -Billable Cost"/>
    <s v="Labor"/>
    <s v="CO-C"/>
    <x v="48"/>
    <x v="9"/>
    <x v="6"/>
    <s v="Employee"/>
    <s v="8"/>
    <s v="ORCL AE"/>
    <s v="801065 - 7E9 - Consulting LOB - Plan Costs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4E8"/>
    <s v="3029653480111411"/>
    <s v="1.01.00"/>
    <s v="FP Labor -Billable Cost"/>
    <s v="Labor"/>
    <s v="CO-C"/>
    <x v="49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401E8"/>
    <s v="3029653480111401"/>
    <s v="1.01.00"/>
    <s v="FP Labor -Billable Cost"/>
    <s v="Labor"/>
    <s v="CO-C"/>
    <x v="49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60244E8"/>
    <s v="1537872509:1"/>
    <s v="1.01.00"/>
    <s v="FP Labor -Billable Cost"/>
    <s v="Labor"/>
    <s v="CO-C"/>
    <x v="49"/>
    <x v="9"/>
    <x v="5"/>
    <s v="Employee"/>
    <s v="7"/>
    <s v="ORCL ES"/>
    <s v="506516 - D9Z: EMEA OC Apps Delivery COE SCM"/>
    <s v="0017"/>
    <s v="Y"/>
    <s v="Y"/>
    <s v="Unrecognized"/>
    <n v="16"/>
    <s v="AED"/>
    <n v="333.42"/>
    <n v="813.38"/>
    <n v="5334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2072E8"/>
    <s v="3029640539387891"/>
    <s v="1.01.00"/>
    <s v="FP Labor -Billable Cost"/>
    <s v="Labor"/>
    <s v="CO-C"/>
    <x v="49"/>
    <x v="9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45426E8"/>
    <s v="3029646028591761"/>
    <s v="1.01.00"/>
    <s v="FP Labor -Billable Cost"/>
    <s v="Labor"/>
    <s v="CO-C"/>
    <x v="49"/>
    <x v="9"/>
    <x v="6"/>
    <s v="Employee"/>
    <s v="8"/>
    <s v="ORCL AE"/>
    <s v="801065 - 7E9 - Consulting LOB - Plan Costs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144E8"/>
    <s v="3029653484187292"/>
    <s v="1.01.00"/>
    <s v="FP Labor -Billable Cost"/>
    <s v="Labor"/>
    <s v="CO-C"/>
    <x v="50"/>
    <x v="10"/>
    <x v="7"/>
    <s v="Employee"/>
    <s v="7"/>
    <s v="ORCL AE"/>
    <s v="509945 - 4AT: EMEA OCS - N B Regional Mgmt Tech"/>
    <s v="0069"/>
    <s v="Y"/>
    <s v="Y"/>
    <s v="Unrecognized"/>
    <n v="10"/>
    <s v="AED"/>
    <n v="433.37"/>
    <n v="813.38"/>
    <n v="4333.7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34E8"/>
    <s v="3029643146466494"/>
    <s v="1.01.00"/>
    <s v="FP Labor -Billable Cost"/>
    <s v="Labor"/>
    <s v="CO-C"/>
    <x v="50"/>
    <x v="10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01589E8"/>
    <s v="1538369459:1"/>
    <s v="1.01.00"/>
    <s v="FP Labor -Billable Cost"/>
    <s v="Labor"/>
    <s v="CO-C"/>
    <x v="50"/>
    <x v="10"/>
    <x v="5"/>
    <s v="Employee"/>
    <s v="7"/>
    <s v="ORCL ES"/>
    <s v="506516 - D9Z: EMEA OC Apps Delivery COE SCM"/>
    <s v="0017"/>
    <s v="Y"/>
    <s v="Y"/>
    <s v="Unrecognized"/>
    <n v="16"/>
    <s v="AED"/>
    <n v="333.42"/>
    <n v="813.38"/>
    <n v="5334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75E8"/>
    <s v="3029653725458791"/>
    <s v="1.01.00"/>
    <s v="FP Labor -Billable Cost"/>
    <s v="Labor"/>
    <s v="CO-C"/>
    <x v="50"/>
    <x v="10"/>
    <x v="3"/>
    <s v="Employee"/>
    <s v="8"/>
    <s v="ORCL AE - Abu Dhabi"/>
    <s v="509505 - 75M: EMEA Digital - PaaS"/>
    <s v="069F"/>
    <s v="Y"/>
    <s v="Y"/>
    <s v="Unrecognized"/>
    <n v="4"/>
    <s v="AED"/>
    <n v="589.6"/>
    <n v="943.05"/>
    <n v="2358.4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338E8"/>
    <s v="3029640824504492"/>
    <s v="1.01.00"/>
    <s v="FP Labor -Billable Cost"/>
    <s v="Labor"/>
    <s v="CO-C"/>
    <x v="50"/>
    <x v="10"/>
    <x v="2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635E8"/>
    <s v="3029653511503813"/>
    <s v="1.01.00"/>
    <s v="FP Labor -Billable Cost"/>
    <s v="Labor"/>
    <s v="CO-C"/>
    <x v="50"/>
    <x v="10"/>
    <x v="8"/>
    <s v="Employee"/>
    <s v="8"/>
    <s v="ORCL AE"/>
    <s v="509945 - 4AT: EMEA OCS - N B Regional Mgmt Tech"/>
    <s v="0069"/>
    <s v="Y"/>
    <s v="Y"/>
    <s v="Unrecognized"/>
    <n v="16"/>
    <s v="AED"/>
    <n v="589.6"/>
    <n v="943.05"/>
    <n v="9433.6"/>
    <n v="0"/>
    <n v="15088.7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0631E8"/>
    <s v="3029653484187312"/>
    <s v="1.01.00"/>
    <s v="FP Labor -Billable Cost"/>
    <s v="Labor"/>
    <s v="CO-C"/>
    <x v="51"/>
    <x v="10"/>
    <x v="7"/>
    <s v="Employee"/>
    <s v="7"/>
    <s v="ORCL AE"/>
    <s v="509945 - 4AT: EMEA OCS - N B Regional Mgmt Tech"/>
    <s v="0069"/>
    <s v="Y"/>
    <s v="Y"/>
    <s v="Unrecognized"/>
    <n v="10"/>
    <s v="AED"/>
    <n v="433.37"/>
    <n v="813.38"/>
    <n v="4333.7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0713E8"/>
    <s v="3029643146466514"/>
    <s v="1.01.00"/>
    <s v="FP Labor -Billable Cost"/>
    <s v="Labor"/>
    <s v="CO-C"/>
    <x v="51"/>
    <x v="10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01502E8"/>
    <s v="1538369461:1"/>
    <s v="1.01.00"/>
    <s v="FP Labor -Billable Cost"/>
    <s v="Labor"/>
    <s v="CO-C"/>
    <x v="51"/>
    <x v="10"/>
    <x v="5"/>
    <s v="Employee"/>
    <s v="7"/>
    <s v="ORCL ES"/>
    <s v="506516 - D9Z: EMEA OC Apps Delivery COE SCM"/>
    <s v="0017"/>
    <s v="Y"/>
    <s v="Y"/>
    <s v="Unrecognized"/>
    <n v="16"/>
    <s v="AED"/>
    <n v="335.81"/>
    <n v="813.38"/>
    <n v="5373.01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5174E8"/>
    <s v="3029653725458811"/>
    <s v="1.01.00"/>
    <s v="FP Labor -Billable Cost"/>
    <s v="Labor"/>
    <s v="CO-C"/>
    <x v="51"/>
    <x v="10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30711E8"/>
    <s v="3029640824504512"/>
    <s v="1.01.00"/>
    <s v="FP Labor -Billable Cost"/>
    <s v="Labor"/>
    <s v="CO-C"/>
    <x v="51"/>
    <x v="10"/>
    <x v="2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634E8"/>
    <s v="3029653511503831"/>
    <s v="1.01.00"/>
    <s v="FP Labor -Billable Cost"/>
    <s v="Labor"/>
    <s v="CO-C"/>
    <x v="51"/>
    <x v="10"/>
    <x v="8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813E8"/>
    <s v="3029653484187332"/>
    <s v="1.01.00"/>
    <s v="FP Labor -Billable Cost"/>
    <s v="Labor"/>
    <s v="CO-C"/>
    <x v="52"/>
    <x v="10"/>
    <x v="7"/>
    <s v="Employee"/>
    <s v="7"/>
    <s v="ORCL AE"/>
    <s v="509945 - 4AT: EMEA OCS - N B Regional Mgmt Tech"/>
    <s v="0069"/>
    <s v="Y"/>
    <s v="Y"/>
    <s v="Unrecognized"/>
    <n v="10"/>
    <s v="AED"/>
    <n v="433.37"/>
    <n v="813.38"/>
    <n v="4333.7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715E8"/>
    <s v="3029643146466534"/>
    <s v="1.01.00"/>
    <s v="FP Labor -Billable Cost"/>
    <s v="Labor"/>
    <s v="CO-C"/>
    <x v="52"/>
    <x v="10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84729E8"/>
    <s v="1538369462:1"/>
    <s v="1.01.00"/>
    <s v="FP Labor -Billable Cost"/>
    <s v="Labor"/>
    <s v="CO-C"/>
    <x v="52"/>
    <x v="10"/>
    <x v="5"/>
    <s v="Employee"/>
    <s v="7"/>
    <s v="ORCL ES"/>
    <s v="506516 - D9Z: EMEA OC Apps Delivery COE SCM"/>
    <s v="0017"/>
    <s v="Y"/>
    <s v="Y"/>
    <s v="Unrecognized"/>
    <n v="16"/>
    <s v="AED"/>
    <n v="334.56"/>
    <n v="813.38"/>
    <n v="5352.9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98679E8"/>
    <s v="3029653725458831"/>
    <s v="1.01.00"/>
    <s v="FP Labor -Billable Cost"/>
    <s v="Labor"/>
    <s v="CO-C"/>
    <x v="52"/>
    <x v="10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714E8"/>
    <s v="3029640824504532"/>
    <s v="1.01.00"/>
    <s v="FP Labor -Billable Cost"/>
    <s v="Labor"/>
    <s v="CO-C"/>
    <x v="52"/>
    <x v="10"/>
    <x v="2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627E8"/>
    <s v="3029653511503851"/>
    <s v="1.01.00"/>
    <s v="FP Labor -Billable Cost"/>
    <s v="Labor"/>
    <s v="CO-C"/>
    <x v="52"/>
    <x v="10"/>
    <x v="8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35122E8"/>
    <s v="3029653484187352"/>
    <s v="1.01.00"/>
    <s v="FP Labor -Billable Cost"/>
    <s v="Labor"/>
    <s v="CO-C"/>
    <x v="53"/>
    <x v="10"/>
    <x v="7"/>
    <s v="Employee"/>
    <s v="7"/>
    <s v="ORCL AE"/>
    <s v="509945 - 4AT: EMEA OCS - N B Regional Mgmt Tech"/>
    <s v="0069"/>
    <s v="Y"/>
    <s v="Y"/>
    <s v="Unrecognized"/>
    <n v="10"/>
    <s v="AED"/>
    <n v="433.37"/>
    <n v="813.38"/>
    <n v="4333.7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35073E8"/>
    <s v="3029643146466554"/>
    <s v="1.01.00"/>
    <s v="FP Labor -Billable Cost"/>
    <s v="Labor"/>
    <s v="CO-C"/>
    <x v="53"/>
    <x v="10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72283E8"/>
    <s v="1538369463:1"/>
    <s v="1.01.00"/>
    <s v="FP Labor -Billable Cost"/>
    <s v="Labor"/>
    <s v="CO-C"/>
    <x v="53"/>
    <x v="10"/>
    <x v="5"/>
    <s v="Employee"/>
    <s v="7"/>
    <s v="ORCL ES"/>
    <s v="506516 - D9Z: EMEA OC Apps Delivery COE SCM"/>
    <s v="0017"/>
    <s v="Y"/>
    <s v="Y"/>
    <s v="Unrecognized"/>
    <n v="16"/>
    <s v="AED"/>
    <n v="333.93"/>
    <n v="813.38"/>
    <n v="5342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50406E8"/>
    <s v="3029640546135071"/>
    <s v="1.01.00"/>
    <s v="FP Labor -Billable Cost"/>
    <s v="Labor"/>
    <s v="CO-C"/>
    <x v="53"/>
    <x v="10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35071E8"/>
    <s v="3029640824504552"/>
    <s v="1.01.00"/>
    <s v="FP Labor -Billable Cost"/>
    <s v="Labor"/>
    <s v="CO-C"/>
    <x v="53"/>
    <x v="10"/>
    <x v="2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35217E8"/>
    <s v="3029653511503871"/>
    <s v="1.01.00"/>
    <s v="FP Labor -Billable Cost"/>
    <s v="Labor"/>
    <s v="CO-C"/>
    <x v="53"/>
    <x v="10"/>
    <x v="8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73231E8"/>
    <s v="3029653484187371"/>
    <s v="1.01.00"/>
    <s v="FP Labor -Billable Cost"/>
    <s v="Labor"/>
    <s v="CO-C"/>
    <x v="54"/>
    <x v="10"/>
    <x v="7"/>
    <s v="Employee"/>
    <s v="7"/>
    <s v="ORCL AE"/>
    <s v="509945 - 4AT: EMEA OCS - N B Regional Mgmt Tech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73192E8"/>
    <s v="3029653474759043"/>
    <s v="1.01.00"/>
    <s v="FP Labor -Billable Cost"/>
    <s v="Labor"/>
    <s v="CO-C"/>
    <x v="54"/>
    <x v="10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3056E8"/>
    <s v="3029640546135091"/>
    <s v="1.01.00"/>
    <s v="FP Labor -Billable Cost"/>
    <s v="Labor"/>
    <s v="CO-C"/>
    <x v="54"/>
    <x v="10"/>
    <x v="3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73191E8"/>
    <s v="3029653027282141"/>
    <s v="1.01.00"/>
    <s v="FP Labor -Billable Cost"/>
    <s v="Labor"/>
    <s v="CO-C"/>
    <x v="54"/>
    <x v="10"/>
    <x v="2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5131E8"/>
    <s v="3029653511503891"/>
    <s v="1.01.00"/>
    <s v="FP Labor -Billable Cost"/>
    <s v="Labor"/>
    <s v="CO-C"/>
    <x v="54"/>
    <x v="10"/>
    <x v="8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698004E8"/>
    <s v="1538807279:1"/>
    <s v="1.01.00"/>
    <s v="FP Labor -Billable Cost"/>
    <s v="Labor"/>
    <s v="CO-C"/>
    <x v="55"/>
    <x v="11"/>
    <x v="5"/>
    <s v="Employee"/>
    <s v="7"/>
    <s v="ORCL ES"/>
    <s v="506516 - D9Z: EMEA OC Apps Delivery COE SCM"/>
    <s v="0017"/>
    <s v="Y"/>
    <s v="Y"/>
    <s v="Unrecognized"/>
    <n v="16"/>
    <s v="AED"/>
    <n v="331.31"/>
    <n v="813.38"/>
    <n v="5300.97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729081E8"/>
    <s v="3029640887865211"/>
    <s v="1.04.00"/>
    <s v="FP Labor - Remote Services Ctr"/>
    <s v="Labor"/>
    <s v="CO-C"/>
    <x v="14"/>
    <x v="3"/>
    <x v="9"/>
    <s v="Employee"/>
    <s v="8"/>
    <s v="ORCL EG"/>
    <s v="502416 - 3WP-EMEA Delivery Middleware - IaaS"/>
    <s v="008U"/>
    <s v="Y"/>
    <s v="Y"/>
    <s v="Unrecognized"/>
    <n v="8"/>
    <s v="AED"/>
    <n v="96.71"/>
    <n v="943.05"/>
    <n v="773.66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72908E8"/>
    <s v="3029640887865231"/>
    <s v="1.04.00"/>
    <s v="FP Labor - Remote Services Ctr"/>
    <s v="Labor"/>
    <s v="CO-C"/>
    <x v="15"/>
    <x v="3"/>
    <x v="9"/>
    <s v="Employee"/>
    <s v="8"/>
    <s v="ORCL EG"/>
    <s v="502416 - 3WP-EMEA Delivery Middleware - IaaS"/>
    <s v="008U"/>
    <s v="Y"/>
    <s v="Y"/>
    <s v="Unrecognized"/>
    <n v="8"/>
    <s v="AED"/>
    <n v="96.71"/>
    <n v="943.05"/>
    <n v="773.66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4043E8"/>
    <s v="3029640919471231"/>
    <s v="1.04.00"/>
    <s v="FP Labor - Remote Services Ctr"/>
    <s v="Labor"/>
    <s v="CO-C"/>
    <x v="15"/>
    <x v="3"/>
    <x v="1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762246E8"/>
    <s v="3029640887865251"/>
    <s v="1.04.00"/>
    <s v="FP Labor - Remote Services Ctr"/>
    <s v="Labor"/>
    <s v="CO-C"/>
    <x v="16"/>
    <x v="3"/>
    <x v="9"/>
    <s v="Employee"/>
    <s v="8"/>
    <s v="ORCL EG"/>
    <s v="502416 - 3WP-EMEA Delivery Middleware - IaaS"/>
    <s v="008U"/>
    <s v="Y"/>
    <s v="Y"/>
    <s v="Unrecognized"/>
    <n v="8"/>
    <s v="AED"/>
    <n v="96.07"/>
    <n v="943.05"/>
    <n v="768.56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4042E8"/>
    <s v="3029640919471251"/>
    <s v="1.04.00"/>
    <s v="FP Labor - Remote Services Ctr"/>
    <s v="Labor"/>
    <s v="CO-C"/>
    <x v="16"/>
    <x v="3"/>
    <x v="1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6852697E8"/>
    <s v="3029640887865271"/>
    <s v="1.04.00"/>
    <s v="FP Labor - Remote Services Ctr"/>
    <s v="Labor"/>
    <s v="CO-C"/>
    <x v="17"/>
    <x v="3"/>
    <x v="9"/>
    <s v="Employee"/>
    <s v="8"/>
    <s v="ORCL EG"/>
    <s v="502416 - 3WP-EMEA Delivery Middleware - IaaS"/>
    <s v="008U"/>
    <s v="Y"/>
    <s v="Y"/>
    <s v="Unrecognized"/>
    <n v="8"/>
    <s v="AED"/>
    <n v="96.27"/>
    <n v="943.05"/>
    <n v="770.13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5154E8"/>
    <s v="3029640888282491"/>
    <s v="1.04.00"/>
    <s v="FP Labor - Remote Services Ctr"/>
    <s v="Labor"/>
    <s v="CO-C"/>
    <x v="17"/>
    <x v="3"/>
    <x v="1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4041E8"/>
    <s v="3029640919471271"/>
    <s v="1.04.00"/>
    <s v="FP Labor - Remote Services Ctr"/>
    <s v="Labor"/>
    <s v="CO-C"/>
    <x v="17"/>
    <x v="3"/>
    <x v="1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5153E8"/>
    <s v="3029640888282511"/>
    <s v="1.04.00"/>
    <s v="FP Labor - Remote Services Ctr"/>
    <s v="Labor"/>
    <s v="CO-C"/>
    <x v="18"/>
    <x v="3"/>
    <x v="1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42247E8"/>
    <s v="3029644153327021"/>
    <s v="1.04.00"/>
    <s v="FP Labor - Remote Services Ctr"/>
    <s v="Labor"/>
    <s v="CO-C"/>
    <x v="56"/>
    <x v="4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427E8"/>
    <s v="3029642270072241"/>
    <s v="1.04.00"/>
    <s v="FP Labor - Remote Services Ctr"/>
    <s v="Labor"/>
    <s v="CO-C"/>
    <x v="56"/>
    <x v="4"/>
    <x v="9"/>
    <s v="Employee"/>
    <s v="8"/>
    <s v="ORCL EG"/>
    <s v="502416 - 3WP-EMEA Delivery Middleware - IaaS"/>
    <s v="008U"/>
    <s v="Y"/>
    <s v="Y"/>
    <s v="Unrecognized"/>
    <n v="8"/>
    <s v="AED"/>
    <n v="95.97"/>
    <n v="943.05"/>
    <n v="767.75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42246E8"/>
    <s v="3029642870964531"/>
    <s v="1.04.00"/>
    <s v="FP Labor - Remote Services Ctr"/>
    <s v="Labor"/>
    <s v="CO-C"/>
    <x v="19"/>
    <x v="4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426E8"/>
    <s v="3029642270072261"/>
    <s v="1.04.00"/>
    <s v="FP Labor - Remote Services Ctr"/>
    <s v="Labor"/>
    <s v="CO-C"/>
    <x v="19"/>
    <x v="4"/>
    <x v="9"/>
    <s v="Employee"/>
    <s v="8"/>
    <s v="ORCL EG"/>
    <s v="502416 - 3WP-EMEA Delivery Middleware - IaaS"/>
    <s v="008U"/>
    <s v="Y"/>
    <s v="Y"/>
    <s v="Unrecognized"/>
    <n v="8"/>
    <s v="AED"/>
    <n v="95.97"/>
    <n v="943.05"/>
    <n v="767.75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4652E8"/>
    <s v="3029640888544141"/>
    <s v="1.04.00"/>
    <s v="FP Labor - Remote Services Ctr"/>
    <s v="Labor"/>
    <s v="CO-C"/>
    <x v="19"/>
    <x v="4"/>
    <x v="11"/>
    <s v="Billable Contractor"/>
    <m/>
    <s v="ORCL EG"/>
    <s v="502416 - 3WP-EMEA Delivery Middleware - I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578E8"/>
    <s v="3029640919172451"/>
    <s v="1.04.00"/>
    <s v="FP Labor - Remote Services Ctr"/>
    <s v="Labor"/>
    <s v="CO-C"/>
    <x v="19"/>
    <x v="4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8098E8"/>
    <s v="1535720281:2"/>
    <s v="1.04.00"/>
    <s v="FP Labor - Remote Services Ctr"/>
    <s v="Labor"/>
    <s v="CO-C"/>
    <x v="19"/>
    <x v="4"/>
    <x v="13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06653E8"/>
    <s v="1532833194:2"/>
    <s v="1.04.00"/>
    <s v="FP Labor - Remote Services Ctr"/>
    <s v="Labor"/>
    <s v="CO-C"/>
    <x v="19"/>
    <x v="4"/>
    <x v="14"/>
    <s v="Employee"/>
    <s v="5"/>
    <s v="ORCL IN OSSI"/>
    <s v="504526 - 96V:GSC-DB &amp; Options"/>
    <s v="09B4"/>
    <s v="Y"/>
    <s v="Y"/>
    <s v="Unrecognized"/>
    <n v="4"/>
    <s v="AED"/>
    <n v="68.34"/>
    <n v="660.13"/>
    <n v="273.36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42333E8"/>
    <s v="3029642870964551"/>
    <s v="1.04.00"/>
    <s v="FP Labor - Remote Services Ctr"/>
    <s v="Labor"/>
    <s v="CO-C"/>
    <x v="20"/>
    <x v="4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425E8"/>
    <s v="3029642270072281"/>
    <s v="1.04.00"/>
    <s v="FP Labor - Remote Services Ctr"/>
    <s v="Labor"/>
    <s v="CO-C"/>
    <x v="20"/>
    <x v="4"/>
    <x v="9"/>
    <s v="Employee"/>
    <s v="8"/>
    <s v="ORCL EG"/>
    <s v="502416 - 3WP-EMEA Delivery Middleware - IaaS"/>
    <s v="008U"/>
    <s v="Y"/>
    <s v="Y"/>
    <s v="Unrecognized"/>
    <n v="8"/>
    <s v="AED"/>
    <n v="95.97"/>
    <n v="943.05"/>
    <n v="767.75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465E8"/>
    <s v="3029640888544171"/>
    <s v="1.04.00"/>
    <s v="FP Labor - Remote Services Ctr"/>
    <s v="Labor"/>
    <s v="CO-C"/>
    <x v="20"/>
    <x v="4"/>
    <x v="11"/>
    <s v="Billable Contractor"/>
    <m/>
    <s v="ORCL EG"/>
    <s v="502416 - 3WP-EMEA Delivery Middleware - I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577E8"/>
    <s v="3029640919172471"/>
    <s v="1.04.00"/>
    <s v="FP Labor - Remote Services Ctr"/>
    <s v="Labor"/>
    <s v="CO-C"/>
    <x v="20"/>
    <x v="4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8112E8"/>
    <s v="1535720283:2"/>
    <s v="1.04.00"/>
    <s v="FP Labor - Remote Services Ctr"/>
    <s v="Labor"/>
    <s v="CO-C"/>
    <x v="20"/>
    <x v="4"/>
    <x v="13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299421E8"/>
    <s v="1532833193:2"/>
    <s v="1.04.00"/>
    <s v="FP Labor - Remote Services Ctr"/>
    <s v="Labor"/>
    <s v="CO-C"/>
    <x v="20"/>
    <x v="4"/>
    <x v="14"/>
    <s v="Employee"/>
    <s v="5"/>
    <s v="ORCL IN OSSI"/>
    <s v="504526 - 96V:GSC-DB &amp; Options"/>
    <s v="09B4"/>
    <s v="Y"/>
    <s v="Y"/>
    <s v="Unrecognized"/>
    <n v="4"/>
    <s v="AED"/>
    <n v="68.34"/>
    <n v="660.13"/>
    <n v="273.36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42323E8"/>
    <s v="3029642925814501"/>
    <s v="1.04.00"/>
    <s v="FP Labor - Remote Services Ctr"/>
    <s v="Labor"/>
    <s v="CO-C"/>
    <x v="21"/>
    <x v="4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424E8"/>
    <s v="3029642270072301"/>
    <s v="1.04.00"/>
    <s v="FP Labor - Remote Services Ctr"/>
    <s v="Labor"/>
    <s v="CO-C"/>
    <x v="21"/>
    <x v="4"/>
    <x v="9"/>
    <s v="Employee"/>
    <s v="8"/>
    <s v="ORCL EG"/>
    <s v="502416 - 3WP-EMEA Delivery Middleware - IaaS"/>
    <s v="008U"/>
    <s v="Y"/>
    <s v="Y"/>
    <s v="Unrecognized"/>
    <n v="8"/>
    <s v="AED"/>
    <n v="95.97"/>
    <n v="943.05"/>
    <n v="767.75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33576E8"/>
    <s v="3029640919172491"/>
    <s v="1.04.00"/>
    <s v="FP Labor - Remote Services Ctr"/>
    <s v="Labor"/>
    <s v="CO-C"/>
    <x v="21"/>
    <x v="4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06984E8"/>
    <s v="1535720285:2"/>
    <s v="1.04.00"/>
    <s v="FP Labor - Remote Services Ctr"/>
    <s v="Labor"/>
    <s v="CO-C"/>
    <x v="21"/>
    <x v="4"/>
    <x v="13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32877E8"/>
    <s v="1532833192:2"/>
    <s v="1.04.00"/>
    <s v="FP Labor - Remote Services Ctr"/>
    <s v="Labor"/>
    <s v="CO-C"/>
    <x v="21"/>
    <x v="4"/>
    <x v="14"/>
    <s v="Employee"/>
    <s v="5"/>
    <s v="ORCL IN OSSI"/>
    <s v="504526 - 96V:GSC-DB &amp; Options"/>
    <s v="09B4"/>
    <s v="Y"/>
    <s v="Y"/>
    <s v="Unrecognized"/>
    <n v="4"/>
    <s v="AED"/>
    <n v="68.34"/>
    <n v="660.13"/>
    <n v="273.36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42322E8"/>
    <s v="3029642925056661"/>
    <s v="1.04.00"/>
    <s v="FP Labor - Remote Services Ctr"/>
    <s v="Labor"/>
    <s v="CO-C"/>
    <x v="22"/>
    <x v="4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68E8"/>
    <s v="3029653097389021"/>
    <s v="1.04.00"/>
    <s v="FP Labor - Remote Services Ctr"/>
    <s v="Labor"/>
    <s v="CO-C"/>
    <x v="22"/>
    <x v="4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7275E8"/>
    <s v="1535720287:2"/>
    <s v="1.04.00"/>
    <s v="FP Labor - Remote Services Ctr"/>
    <s v="Labor"/>
    <s v="CO-C"/>
    <x v="22"/>
    <x v="4"/>
    <x v="13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299765E8"/>
    <s v="1532833196:2"/>
    <s v="1.04.00"/>
    <s v="FP Labor - Remote Services Ctr"/>
    <s v="Labor"/>
    <s v="CO-C"/>
    <x v="22"/>
    <x v="4"/>
    <x v="14"/>
    <s v="Employee"/>
    <s v="5"/>
    <s v="ORCL IN OSSI"/>
    <s v="504526 - 96V:GSC-DB &amp; Options"/>
    <s v="09B4"/>
    <s v="Y"/>
    <s v="Y"/>
    <s v="Unrecognized"/>
    <n v="4"/>
    <s v="AED"/>
    <n v="68.34"/>
    <n v="660.13"/>
    <n v="273.36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678E8"/>
    <s v="3029653097389041"/>
    <s v="1.04.00"/>
    <s v="FP Labor - Remote Services Ctr"/>
    <s v="Labor"/>
    <s v="CO-C"/>
    <x v="23"/>
    <x v="4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8325E8"/>
    <s v="1535720289:2"/>
    <s v="1.04.00"/>
    <s v="FP Labor - Remote Services Ctr"/>
    <s v="Labor"/>
    <s v="CO-C"/>
    <x v="23"/>
    <x v="4"/>
    <x v="13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459717E8"/>
    <s v="1532833195:2"/>
    <s v="1.04.00"/>
    <s v="FP Labor - Remote Services Ctr"/>
    <s v="Labor"/>
    <s v="CO-C"/>
    <x v="23"/>
    <x v="4"/>
    <x v="14"/>
    <s v="Employee"/>
    <s v="5"/>
    <s v="ORCL IN OSSI"/>
    <s v="504526 - 96V:GSC-DB &amp; Options"/>
    <s v="09B4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747486E8"/>
    <s v="3029642915997551"/>
    <s v="1.04.00"/>
    <s v="FP Labor - Remote Services Ctr"/>
    <s v="Labor"/>
    <s v="CO-C"/>
    <x v="57"/>
    <x v="5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747485E8"/>
    <s v="3029642915997571"/>
    <s v="1.04.00"/>
    <s v="FP Labor - Remote Services Ctr"/>
    <s v="Labor"/>
    <s v="CO-C"/>
    <x v="24"/>
    <x v="5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690849E8"/>
    <s v="3029640883780321"/>
    <s v="1.04.00"/>
    <s v="FP Labor - Remote Services Ctr"/>
    <s v="Labor"/>
    <s v="CO-C"/>
    <x v="24"/>
    <x v="5"/>
    <x v="11"/>
    <s v="Billable Contractor"/>
    <m/>
    <s v="ORCL EG"/>
    <s v="502416 - 3WP-EMEA Delivery Middleware - I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688E8"/>
    <s v="3029640918255082"/>
    <s v="1.04.00"/>
    <s v="FP Labor - Remote Services Ctr"/>
    <s v="Labor"/>
    <s v="CO-C"/>
    <x v="24"/>
    <x v="5"/>
    <x v="10"/>
    <s v="Billable Contractor"/>
    <m/>
    <s v="ORCL EG"/>
    <s v="502416 - 3WP-EMEA Delivery Middleware - IaaS"/>
    <s v="008U"/>
    <s v="Y"/>
    <s v="Y"/>
    <s v="Unrecognized"/>
    <n v="10"/>
    <s v="AED"/>
    <n v="68.87"/>
    <n v="542.25"/>
    <n v="688.69"/>
    <n v="0"/>
    <n v="5422.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6528E8"/>
    <s v="1535720371:2"/>
    <s v="1.04.00"/>
    <s v="FP Labor - Remote Services Ctr"/>
    <s v="Labor"/>
    <s v="CO-C"/>
    <x v="24"/>
    <x v="5"/>
    <x v="13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702437E8"/>
    <s v="1532833235:2"/>
    <s v="1.04.00"/>
    <s v="FP Labor - Remote Services Ctr"/>
    <s v="Labor"/>
    <s v="CO-C"/>
    <x v="24"/>
    <x v="5"/>
    <x v="14"/>
    <s v="Employee"/>
    <s v="5"/>
    <s v="ORCL IN OSSI"/>
    <s v="504526 - 96V:GSC-DB &amp; Options"/>
    <s v="09B4"/>
    <s v="Y"/>
    <s v="Y"/>
    <s v="Unrecognized"/>
    <n v="4"/>
    <s v="AED"/>
    <n v="68.34"/>
    <n v="660.13"/>
    <n v="273.36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732283E8"/>
    <s v="3029642924847581"/>
    <s v="1.04.00"/>
    <s v="FP Labor - Remote Services Ctr"/>
    <s v="Labor"/>
    <s v="CO-C"/>
    <x v="25"/>
    <x v="5"/>
    <x v="12"/>
    <s v="Billable Contractor"/>
    <m/>
    <s v="ORCL EG"/>
    <s v="509485 - 73M: EMEA Business Analytics - PaaS"/>
    <s v="008U"/>
    <s v="Y"/>
    <s v="Y"/>
    <s v="Unrecognized"/>
    <n v="8"/>
    <s v="AED"/>
    <n v="68.86"/>
    <n v="813.38"/>
    <n v="550.88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732313E8"/>
    <s v="3029640883780351"/>
    <s v="1.04.00"/>
    <s v="FP Labor - Remote Services Ctr"/>
    <s v="Labor"/>
    <s v="CO-C"/>
    <x v="25"/>
    <x v="5"/>
    <x v="11"/>
    <s v="Billable Contractor"/>
    <m/>
    <s v="ORCL EG"/>
    <s v="502416 - 3WP-EMEA Delivery Middleware - IaaS"/>
    <s v="008U"/>
    <s v="Y"/>
    <s v="Y"/>
    <s v="Unrecognized"/>
    <n v="16"/>
    <s v="AED"/>
    <n v="68.86"/>
    <n v="813.38"/>
    <n v="1101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686E8"/>
    <s v="3029640918255102"/>
    <s v="1.04.00"/>
    <s v="FP Labor - Remote Services Ctr"/>
    <s v="Labor"/>
    <s v="CO-C"/>
    <x v="25"/>
    <x v="5"/>
    <x v="10"/>
    <s v="Billable Contractor"/>
    <m/>
    <s v="ORCL EG"/>
    <s v="502416 - 3WP-EMEA Delivery Middleware - IaaS"/>
    <s v="008U"/>
    <s v="Y"/>
    <s v="Y"/>
    <s v="Unrecognized"/>
    <n v="10"/>
    <s v="AED"/>
    <n v="68.86"/>
    <n v="813.38"/>
    <n v="688.59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8531E8"/>
    <s v="1535720373:2"/>
    <s v="1.04.00"/>
    <s v="FP Labor - Remote Services Ctr"/>
    <s v="Labor"/>
    <s v="CO-C"/>
    <x v="25"/>
    <x v="5"/>
    <x v="13"/>
    <s v="Employee"/>
    <s v="5"/>
    <s v="ORCL IN OSSI"/>
    <s v="504526 - 96V:GSC-DB &amp; Options"/>
    <s v="09B3"/>
    <s v="Y"/>
    <s v="Y"/>
    <s v="Unrecognized"/>
    <n v="8"/>
    <s v="AED"/>
    <n v="69"/>
    <n v="660.13"/>
    <n v="551.96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765754E8"/>
    <s v="1532833237:2"/>
    <s v="1.04.00"/>
    <s v="FP Labor - Remote Services Ctr"/>
    <s v="Labor"/>
    <s v="CO-C"/>
    <x v="25"/>
    <x v="5"/>
    <x v="14"/>
    <s v="Employee"/>
    <s v="5"/>
    <s v="ORCL IN OSSI"/>
    <s v="504526 - 96V:GSC-DB &amp; Options"/>
    <s v="09B4"/>
    <s v="Y"/>
    <s v="Y"/>
    <s v="Unrecognized"/>
    <n v="4"/>
    <s v="AED"/>
    <n v="69"/>
    <n v="660.13"/>
    <n v="275.98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04534E8"/>
    <s v="3029642927991081"/>
    <s v="1.04.00"/>
    <s v="FP Labor - Remote Services Ctr"/>
    <s v="Labor"/>
    <s v="CO-C"/>
    <x v="26"/>
    <x v="5"/>
    <x v="12"/>
    <s v="Billable Contractor"/>
    <m/>
    <s v="ORCL EG"/>
    <s v="509485 - 73M: EMEA Business Analytics - PaaS"/>
    <s v="008U"/>
    <s v="Y"/>
    <s v="Y"/>
    <s v="Unrecognized"/>
    <n v="8"/>
    <s v="AED"/>
    <n v="68.86"/>
    <n v="813.38"/>
    <n v="550.88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28E8"/>
    <s v="3029640918255122"/>
    <s v="1.04.00"/>
    <s v="FP Labor - Remote Services Ctr"/>
    <s v="Labor"/>
    <s v="CO-C"/>
    <x v="26"/>
    <x v="5"/>
    <x v="10"/>
    <s v="Billable Contractor"/>
    <m/>
    <s v="ORCL EG"/>
    <s v="502416 - 3WP-EMEA Delivery Middleware - IaaS"/>
    <s v="008U"/>
    <s v="Y"/>
    <s v="Y"/>
    <s v="Unrecognized"/>
    <n v="10"/>
    <s v="AED"/>
    <n v="68.86"/>
    <n v="813.38"/>
    <n v="688.59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5863E8"/>
    <s v="1535720375:2"/>
    <s v="1.04.00"/>
    <s v="FP Labor - Remote Services Ctr"/>
    <s v="Labor"/>
    <s v="CO-C"/>
    <x v="26"/>
    <x v="5"/>
    <x v="13"/>
    <s v="Employee"/>
    <s v="5"/>
    <s v="ORCL IN OSSI"/>
    <s v="504526 - 96V:GSC-DB &amp; Options"/>
    <s v="09B3"/>
    <s v="Y"/>
    <s v="Y"/>
    <s v="Unrecognized"/>
    <n v="8"/>
    <s v="AED"/>
    <n v="69.040000000000006"/>
    <n v="660.13"/>
    <n v="552.33000000000004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12721E8"/>
    <s v="1532833239:2"/>
    <s v="1.04.00"/>
    <s v="FP Labor - Remote Services Ctr"/>
    <s v="Labor"/>
    <s v="CO-C"/>
    <x v="26"/>
    <x v="5"/>
    <x v="14"/>
    <s v="Employee"/>
    <s v="5"/>
    <s v="ORCL IN OSSI"/>
    <s v="504526 - 96V:GSC-DB &amp; Options"/>
    <s v="09B4"/>
    <s v="Y"/>
    <s v="Y"/>
    <s v="Unrecognized"/>
    <n v="4"/>
    <s v="AED"/>
    <n v="69.040000000000006"/>
    <n v="660.13"/>
    <n v="276.16000000000003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32E8"/>
    <s v="3029653101527491"/>
    <s v="1.04.00"/>
    <s v="FP Labor - Remote Services Ctr"/>
    <s v="Labor"/>
    <s v="CO-C"/>
    <x v="27"/>
    <x v="5"/>
    <x v="10"/>
    <s v="Billable Contractor"/>
    <m/>
    <s v="ORCL EG"/>
    <s v="502416 - 3WP-EMEA Delivery Middleware - IaaS"/>
    <s v="008U"/>
    <s v="Y"/>
    <s v="Y"/>
    <s v="Unrecognized"/>
    <n v="10"/>
    <s v="AED"/>
    <n v="68.86"/>
    <n v="813.38"/>
    <n v="688.59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6835E8"/>
    <s v="1535720377:2"/>
    <s v="1.04.00"/>
    <s v="FP Labor - Remote Services Ctr"/>
    <s v="Labor"/>
    <s v="CO-C"/>
    <x v="27"/>
    <x v="5"/>
    <x v="13"/>
    <s v="Employee"/>
    <s v="5"/>
    <s v="ORCL IN OSSI"/>
    <s v="504526 - 96V:GSC-DB &amp; Options"/>
    <s v="09B3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877754E8"/>
    <s v="1532833241:2"/>
    <s v="1.04.00"/>
    <s v="FP Labor - Remote Services Ctr"/>
    <s v="Labor"/>
    <s v="CO-C"/>
    <x v="27"/>
    <x v="5"/>
    <x v="14"/>
    <s v="Employee"/>
    <s v="5"/>
    <s v="ORCL IN OSSI"/>
    <s v="504526 - 96V:GSC-DB &amp; Options"/>
    <s v="09B4"/>
    <s v="Y"/>
    <s v="Y"/>
    <s v="Unrecognized"/>
    <n v="4"/>
    <s v="AED"/>
    <n v="69.36"/>
    <n v="660.13"/>
    <n v="277.42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31E8"/>
    <s v="3029653101527511"/>
    <s v="1.04.00"/>
    <s v="FP Labor - Remote Services Ctr"/>
    <s v="Labor"/>
    <s v="CO-C"/>
    <x v="28"/>
    <x v="5"/>
    <x v="10"/>
    <s v="Billable Contractor"/>
    <m/>
    <s v="ORCL EG"/>
    <s v="502416 - 3WP-EMEA Delivery Middleware - IaaS"/>
    <s v="008U"/>
    <s v="Y"/>
    <s v="Y"/>
    <s v="Unrecognized"/>
    <n v="10"/>
    <s v="AED"/>
    <n v="68.86"/>
    <n v="813.38"/>
    <n v="688.59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4779E8"/>
    <s v="1535720379:2"/>
    <s v="1.04.00"/>
    <s v="FP Labor - Remote Services Ctr"/>
    <s v="Labor"/>
    <s v="CO-C"/>
    <x v="28"/>
    <x v="5"/>
    <x v="13"/>
    <s v="Employee"/>
    <s v="5"/>
    <s v="ORCL IN OSSI"/>
    <s v="504526 - 96V:GSC-DB &amp; Options"/>
    <s v="09B3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950597E8"/>
    <s v="1532833233:2"/>
    <s v="1.04.00"/>
    <s v="FP Labor - Remote Services Ctr"/>
    <s v="Labor"/>
    <s v="CO-C"/>
    <x v="28"/>
    <x v="5"/>
    <x v="14"/>
    <s v="Employee"/>
    <s v="5"/>
    <s v="ORCL IN OSSI"/>
    <s v="504526 - 96V:GSC-DB &amp; Options"/>
    <s v="09B4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7986906E8"/>
    <s v="3029642921249211"/>
    <s v="1.04.00"/>
    <s v="FP Labor - Remote Services Ctr"/>
    <s v="Labor"/>
    <s v="CO-C"/>
    <x v="29"/>
    <x v="6"/>
    <x v="12"/>
    <s v="Billable Contractor"/>
    <m/>
    <s v="ORCL EG"/>
    <s v="509485 - 73M: EMEA Business Analytics - PaaS"/>
    <s v="008U"/>
    <s v="Y"/>
    <s v="Y"/>
    <s v="Unrecognized"/>
    <n v="8"/>
    <s v="AED"/>
    <n v="68.86"/>
    <n v="813.38"/>
    <n v="550.88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171814E8"/>
    <s v="3029642921249231"/>
    <s v="1.04.00"/>
    <s v="FP Labor - Remote Services Ctr"/>
    <s v="Labor"/>
    <s v="CO-C"/>
    <x v="30"/>
    <x v="6"/>
    <x v="12"/>
    <s v="Billable Contractor"/>
    <m/>
    <s v="ORCL EG"/>
    <s v="509485 - 73M: EMEA Business Analytics - PaaS"/>
    <s v="008U"/>
    <s v="Y"/>
    <s v="Y"/>
    <s v="Unrecognized"/>
    <n v="8"/>
    <s v="AED"/>
    <n v="68.86"/>
    <n v="813.38"/>
    <n v="550.88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171743E8"/>
    <s v="3029646014610231"/>
    <s v="1.04.00"/>
    <s v="FP Labor - Remote Services Ctr"/>
    <s v="Labor"/>
    <s v="CO-C"/>
    <x v="30"/>
    <x v="6"/>
    <x v="9"/>
    <s v="Employee"/>
    <s v="8"/>
    <s v="ORCL EG"/>
    <s v="502416 - 3WP-EMEA Delivery Middleware - IaaS"/>
    <s v="008U"/>
    <s v="Y"/>
    <s v="Y"/>
    <s v="Unrecognized"/>
    <n v="8"/>
    <s v="AED"/>
    <n v="95.25"/>
    <n v="943.05"/>
    <n v="762.02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7674E8"/>
    <s v="3029646261256221"/>
    <s v="1.04.00"/>
    <s v="FP Labor - Remote Services Ctr"/>
    <s v="Labor"/>
    <s v="CO-C"/>
    <x v="30"/>
    <x v="6"/>
    <x v="15"/>
    <s v="Billable Contractor"/>
    <m/>
    <s v="ORCL EG"/>
    <s v="502416 - 3WP-EMEA Delivery Middleware - IaaS"/>
    <s v="008U"/>
    <s v="Y"/>
    <s v="Y"/>
    <s v="Unrecognized"/>
    <n v="8"/>
    <s v="AED"/>
    <n v="68.86"/>
    <n v="813.38"/>
    <n v="550.88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171782E8"/>
    <s v="3029640888405581"/>
    <s v="1.04.00"/>
    <s v="FP Labor - Remote Services Ctr"/>
    <s v="Labor"/>
    <s v="CO-C"/>
    <x v="30"/>
    <x v="6"/>
    <x v="11"/>
    <s v="Billable Contractor"/>
    <m/>
    <s v="ORCL EG"/>
    <s v="502416 - 3WP-EMEA Delivery Middleware - IaaS"/>
    <s v="008U"/>
    <s v="Y"/>
    <s v="Y"/>
    <s v="Unrecognized"/>
    <n v="16"/>
    <s v="AED"/>
    <n v="68.86"/>
    <n v="813.38"/>
    <n v="1101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187919E8"/>
    <s v="1532828048:2"/>
    <s v="1.04.00"/>
    <s v="FP Labor - Remote Services Ctr"/>
    <s v="Labor"/>
    <s v="CO-C"/>
    <x v="30"/>
    <x v="6"/>
    <x v="14"/>
    <s v="Employee"/>
    <s v="5"/>
    <s v="ORCL IN OSSI"/>
    <s v="504526 - 96V:GSC-DB &amp; Options"/>
    <s v="09B4"/>
    <s v="Y"/>
    <s v="Y"/>
    <s v="Unrecognized"/>
    <n v="4"/>
    <s v="AED"/>
    <n v="69.239999999999995"/>
    <n v="660.13"/>
    <n v="276.95999999999998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240337E8"/>
    <s v="3029642921249251"/>
    <s v="1.04.00"/>
    <s v="FP Labor - Remote Services Ctr"/>
    <s v="Labor"/>
    <s v="CO-C"/>
    <x v="31"/>
    <x v="6"/>
    <x v="12"/>
    <s v="Billable Contractor"/>
    <m/>
    <s v="ORCL EG"/>
    <s v="509485 - 73M: EMEA Business Analytics - PaaS"/>
    <s v="008U"/>
    <s v="Y"/>
    <s v="Y"/>
    <s v="Unrecognized"/>
    <n v="8"/>
    <s v="AED"/>
    <n v="68.86"/>
    <n v="813.38"/>
    <n v="550.88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240364E8"/>
    <s v="3029646014610251"/>
    <s v="1.04.00"/>
    <s v="FP Labor - Remote Services Ctr"/>
    <s v="Labor"/>
    <s v="CO-C"/>
    <x v="31"/>
    <x v="6"/>
    <x v="9"/>
    <s v="Employee"/>
    <s v="8"/>
    <s v="ORCL EG"/>
    <s v="502416 - 3WP-EMEA Delivery Middleware - IaaS"/>
    <s v="008U"/>
    <s v="Y"/>
    <s v="Y"/>
    <s v="Unrecognized"/>
    <n v="8"/>
    <s v="AED"/>
    <n v="95.25"/>
    <n v="943.05"/>
    <n v="762.02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7673E8"/>
    <s v="3029646261256241"/>
    <s v="1.04.00"/>
    <s v="FP Labor - Remote Services Ctr"/>
    <s v="Labor"/>
    <s v="CO-C"/>
    <x v="31"/>
    <x v="6"/>
    <x v="15"/>
    <s v="Billable Contractor"/>
    <m/>
    <s v="ORCL EG"/>
    <s v="502416 - 3WP-EMEA Delivery Middleware - IaaS"/>
    <s v="008U"/>
    <s v="Y"/>
    <s v="Y"/>
    <s v="Unrecognized"/>
    <n v="8"/>
    <s v="AED"/>
    <n v="68.86"/>
    <n v="813.38"/>
    <n v="550.88"/>
    <n v="0"/>
    <n v="6507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240356E8"/>
    <s v="3029640888405611"/>
    <s v="1.04.00"/>
    <s v="FP Labor - Remote Services Ctr"/>
    <s v="Labor"/>
    <s v="CO-C"/>
    <x v="31"/>
    <x v="6"/>
    <x v="11"/>
    <s v="Billable Contractor"/>
    <m/>
    <s v="ORCL EG"/>
    <s v="502416 - 3WP-EMEA Delivery Middleware - IaaS"/>
    <s v="008U"/>
    <s v="Y"/>
    <s v="Y"/>
    <s v="Unrecognized"/>
    <n v="16"/>
    <s v="AED"/>
    <n v="68.86"/>
    <n v="813.38"/>
    <n v="1101.75"/>
    <n v="0"/>
    <n v="13014.0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1E8"/>
    <s v="3029640917468812"/>
    <s v="1.04.00"/>
    <s v="FP Labor - Remote Services Ctr"/>
    <s v="Labor"/>
    <s v="CO-C"/>
    <x v="31"/>
    <x v="6"/>
    <x v="10"/>
    <s v="Billable Contractor"/>
    <m/>
    <s v="ORCL EG"/>
    <s v="502416 - 3WP-EMEA Delivery Middleware - IaaS"/>
    <s v="008U"/>
    <s v="Y"/>
    <s v="Y"/>
    <s v="Unrecognized"/>
    <n v="10"/>
    <s v="AED"/>
    <n v="68.86"/>
    <n v="813.38"/>
    <n v="688.59"/>
    <n v="0"/>
    <n v="8133.7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2586E8"/>
    <s v="1532828050:2"/>
    <s v="1.04.00"/>
    <s v="FP Labor - Remote Services Ctr"/>
    <s v="Labor"/>
    <s v="CO-C"/>
    <x v="31"/>
    <x v="6"/>
    <x v="14"/>
    <s v="Employee"/>
    <s v="5"/>
    <s v="ORCL IN OSSI"/>
    <s v="504526 - 96V:GSC-DB &amp; Options"/>
    <s v="09B4"/>
    <s v="Y"/>
    <s v="Y"/>
    <s v="Unrecognized"/>
    <n v="4"/>
    <s v="AED"/>
    <n v="68.760000000000005"/>
    <n v="660.13"/>
    <n v="275.02999999999997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310982E8"/>
    <s v="3029642924609231"/>
    <s v="1.04.00"/>
    <s v="FP Labor - Remote Services Ctr"/>
    <s v="Labor"/>
    <s v="CO-C"/>
    <x v="32"/>
    <x v="6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310895E8"/>
    <s v="3029646014610271"/>
    <s v="1.04.00"/>
    <s v="FP Labor - Remote Services Ctr"/>
    <s v="Labor"/>
    <s v="CO-C"/>
    <x v="32"/>
    <x v="6"/>
    <x v="9"/>
    <s v="Employee"/>
    <s v="8"/>
    <s v="ORCL EG"/>
    <s v="502416 - 3WP-EMEA Delivery Middleware - IaaS"/>
    <s v="008U"/>
    <s v="Y"/>
    <s v="Y"/>
    <s v="Unrecognized"/>
    <n v="8"/>
    <s v="AED"/>
    <n v="96.38"/>
    <n v="943.05"/>
    <n v="771.01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7672E8"/>
    <s v="3029646261256261"/>
    <s v="1.04.00"/>
    <s v="FP Labor - Remote Services Ctr"/>
    <s v="Labor"/>
    <s v="CO-C"/>
    <x v="32"/>
    <x v="6"/>
    <x v="1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936E8"/>
    <s v="3029653284975101"/>
    <s v="1.04.00"/>
    <s v="FP Labor - Remote Services Ctr"/>
    <s v="Labor"/>
    <s v="CO-C"/>
    <x v="32"/>
    <x v="6"/>
    <x v="1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08E8"/>
    <s v="3029640917468832"/>
    <s v="1.04.00"/>
    <s v="FP Labor - Remote Services Ctr"/>
    <s v="Labor"/>
    <s v="CO-C"/>
    <x v="32"/>
    <x v="6"/>
    <x v="10"/>
    <s v="Billable Contractor"/>
    <m/>
    <s v="ORCL EG"/>
    <s v="502416 - 3WP-EMEA Delivery Middleware - IaaS"/>
    <s v="008U"/>
    <s v="Y"/>
    <s v="Y"/>
    <s v="Unrecognized"/>
    <n v="10"/>
    <s v="AED"/>
    <n v="68.86"/>
    <n v="542.25"/>
    <n v="688.59"/>
    <n v="0"/>
    <n v="5422.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30668E8"/>
    <s v="1532828052:2"/>
    <s v="1.04.00"/>
    <s v="FP Labor - Remote Services Ctr"/>
    <s v="Labor"/>
    <s v="CO-C"/>
    <x v="32"/>
    <x v="6"/>
    <x v="14"/>
    <s v="Employee"/>
    <s v="5"/>
    <s v="ORCL IN OSSI"/>
    <s v="504526 - 96V:GSC-DB &amp; Options"/>
    <s v="09B4"/>
    <s v="Y"/>
    <s v="Y"/>
    <s v="Unrecognized"/>
    <n v="4"/>
    <s v="AED"/>
    <n v="68.760000000000005"/>
    <n v="660.13"/>
    <n v="275.02999999999997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390765E8"/>
    <s v="3029646014610291"/>
    <s v="1.04.00"/>
    <s v="FP Labor - Remote Services Ctr"/>
    <s v="Labor"/>
    <s v="CO-C"/>
    <x v="33"/>
    <x v="6"/>
    <x v="9"/>
    <s v="Employee"/>
    <s v="8"/>
    <s v="ORCL EG"/>
    <s v="502416 - 3WP-EMEA Delivery Middleware - IaaS"/>
    <s v="008U"/>
    <s v="Y"/>
    <s v="Y"/>
    <s v="Unrecognized"/>
    <n v="8"/>
    <s v="AED"/>
    <n v="97.31"/>
    <n v="943.05"/>
    <n v="778.5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7671E8"/>
    <s v="3029646261256281"/>
    <s v="1.04.00"/>
    <s v="FP Labor - Remote Services Ctr"/>
    <s v="Labor"/>
    <s v="CO-C"/>
    <x v="33"/>
    <x v="6"/>
    <x v="1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788E8"/>
    <s v="3029653103404891"/>
    <s v="1.04.00"/>
    <s v="FP Labor - Remote Services Ctr"/>
    <s v="Labor"/>
    <s v="CO-C"/>
    <x v="33"/>
    <x v="6"/>
    <x v="10"/>
    <s v="Billable Contractor"/>
    <m/>
    <s v="ORCL EG"/>
    <s v="502416 - 3WP-EMEA Delivery Middleware - IaaS"/>
    <s v="008U"/>
    <s v="Y"/>
    <s v="Y"/>
    <s v="Unrecognized"/>
    <n v="10"/>
    <s v="AED"/>
    <n v="68.86"/>
    <n v="542.25"/>
    <n v="688.59"/>
    <n v="0"/>
    <n v="5422.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414885E8"/>
    <s v="1532828054:2"/>
    <s v="1.04.00"/>
    <s v="FP Labor - Remote Services Ctr"/>
    <s v="Labor"/>
    <s v="CO-C"/>
    <x v="33"/>
    <x v="6"/>
    <x v="14"/>
    <s v="Employee"/>
    <s v="5"/>
    <s v="ORCL IN OSSI"/>
    <s v="504526 - 96V:GSC-DB &amp; Options"/>
    <s v="09B4"/>
    <s v="Y"/>
    <s v="Y"/>
    <s v="Unrecognized"/>
    <n v="4"/>
    <s v="AED"/>
    <n v="68.760000000000005"/>
    <n v="660.13"/>
    <n v="275.05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767E8"/>
    <s v="3029646261256301"/>
    <s v="1.04.00"/>
    <s v="FP Labor - Remote Services Ctr"/>
    <s v="Labor"/>
    <s v="CO-C"/>
    <x v="34"/>
    <x v="6"/>
    <x v="1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787E8"/>
    <s v="3029653103404911"/>
    <s v="1.04.00"/>
    <s v="FP Labor - Remote Services Ctr"/>
    <s v="Labor"/>
    <s v="CO-C"/>
    <x v="34"/>
    <x v="6"/>
    <x v="10"/>
    <s v="Billable Contractor"/>
    <m/>
    <s v="ORCL EG"/>
    <s v="502416 - 3WP-EMEA Delivery Middleware - IaaS"/>
    <s v="008U"/>
    <s v="Y"/>
    <s v="Y"/>
    <s v="Unrecognized"/>
    <n v="10"/>
    <s v="AED"/>
    <n v="68.86"/>
    <n v="542.25"/>
    <n v="688.59"/>
    <n v="0"/>
    <n v="5422.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444217E8"/>
    <s v="1532828046:2"/>
    <s v="1.04.00"/>
    <s v="FP Labor - Remote Services Ctr"/>
    <s v="Labor"/>
    <s v="CO-C"/>
    <x v="34"/>
    <x v="6"/>
    <x v="14"/>
    <s v="Employee"/>
    <s v="5"/>
    <s v="ORCL IN OSSI"/>
    <s v="504526 - 96V:GSC-DB &amp; Options"/>
    <s v="09B4"/>
    <s v="Y"/>
    <s v="Y"/>
    <s v="Unrecognized"/>
    <n v="8"/>
    <s v="AED"/>
    <n v="68.89"/>
    <n v="660.13"/>
    <n v="551.15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11677E8"/>
    <s v="3029653523178541"/>
    <s v="1.04.00"/>
    <s v="FP Labor - Remote Services Ctr"/>
    <s v="Labor"/>
    <s v="CO-C"/>
    <x v="58"/>
    <x v="7"/>
    <x v="15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699146E8"/>
    <s v="3029642920579481"/>
    <s v="1.04.00"/>
    <s v="FP Labor - Remote Services Ctr"/>
    <s v="Labor"/>
    <s v="CO-C"/>
    <x v="59"/>
    <x v="7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15738E8"/>
    <s v="3029647743728071"/>
    <s v="1.04.00"/>
    <s v="FP Labor - Remote Services Ctr"/>
    <s v="Labor"/>
    <s v="CO-C"/>
    <x v="59"/>
    <x v="7"/>
    <x v="9"/>
    <s v="Employee"/>
    <s v="8"/>
    <s v="ORCL EG"/>
    <s v="502416 - 3WP-EMEA Delivery Middleware - IaaS"/>
    <s v="008U"/>
    <s v="Y"/>
    <s v="Y"/>
    <s v="Unrecognized"/>
    <n v="8"/>
    <s v="AED"/>
    <n v="97.68"/>
    <n v="943.05"/>
    <n v="781.43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11676E8"/>
    <s v="3029653523178561"/>
    <s v="1.04.00"/>
    <s v="FP Labor - Remote Services Ctr"/>
    <s v="Labor"/>
    <s v="CO-C"/>
    <x v="59"/>
    <x v="7"/>
    <x v="15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15644E8"/>
    <s v="3029642920579501"/>
    <s v="1.04.00"/>
    <s v="FP Labor - Remote Services Ctr"/>
    <s v="Labor"/>
    <s v="CO-C"/>
    <x v="35"/>
    <x v="7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15737E8"/>
    <s v="3029647743728091"/>
    <s v="1.04.00"/>
    <s v="FP Labor - Remote Services Ctr"/>
    <s v="Labor"/>
    <s v="CO-C"/>
    <x v="35"/>
    <x v="7"/>
    <x v="9"/>
    <s v="Employee"/>
    <s v="8"/>
    <s v="ORCL EG"/>
    <s v="502416 - 3WP-EMEA Delivery Middleware - IaaS"/>
    <s v="008U"/>
    <s v="Y"/>
    <s v="Y"/>
    <s v="Unrecognized"/>
    <n v="8"/>
    <s v="AED"/>
    <n v="97.68"/>
    <n v="943.05"/>
    <n v="781.43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7656E8"/>
    <s v="3029646260743041"/>
    <s v="1.04.00"/>
    <s v="FP Labor - Remote Services Ctr"/>
    <s v="Labor"/>
    <s v="CO-C"/>
    <x v="35"/>
    <x v="7"/>
    <x v="1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1562E8"/>
    <s v="3029640918445961"/>
    <s v="1.04.00"/>
    <s v="FP Labor - Remote Services Ctr"/>
    <s v="Labor"/>
    <s v="CO-C"/>
    <x v="35"/>
    <x v="7"/>
    <x v="1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26194E8"/>
    <s v="1532838109:2"/>
    <s v="1.04.00"/>
    <s v="FP Labor - Remote Services Ctr"/>
    <s v="Labor"/>
    <s v="CO-C"/>
    <x v="35"/>
    <x v="7"/>
    <x v="14"/>
    <s v="Employee"/>
    <s v="5"/>
    <s v="ORCL IN OSSI"/>
    <s v="504526 - 96V:GSC-DB &amp; Options"/>
    <s v="09B4"/>
    <s v="Y"/>
    <s v="Y"/>
    <s v="Unrecognized"/>
    <n v="4"/>
    <s v="AED"/>
    <n v="69.099999999999994"/>
    <n v="660.13"/>
    <n v="276.39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7713E8"/>
    <s v="3029642920579521"/>
    <s v="1.04.00"/>
    <s v="FP Labor - Remote Services Ctr"/>
    <s v="Labor"/>
    <s v="CO-C"/>
    <x v="36"/>
    <x v="7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95248E8"/>
    <s v="3029647743728111"/>
    <s v="1.04.00"/>
    <s v="FP Labor - Remote Services Ctr"/>
    <s v="Labor"/>
    <s v="CO-C"/>
    <x v="36"/>
    <x v="7"/>
    <x v="9"/>
    <s v="Employee"/>
    <s v="8"/>
    <s v="ORCL EG"/>
    <s v="502416 - 3WP-EMEA Delivery Middleware - IaaS"/>
    <s v="008U"/>
    <s v="Y"/>
    <s v="Y"/>
    <s v="Unrecognized"/>
    <n v="8"/>
    <s v="AED"/>
    <n v="97.38"/>
    <n v="943.05"/>
    <n v="779.02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7655E8"/>
    <s v="3029646260743061"/>
    <s v="1.04.00"/>
    <s v="FP Labor - Remote Services Ctr"/>
    <s v="Labor"/>
    <s v="CO-C"/>
    <x v="36"/>
    <x v="7"/>
    <x v="1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744E8"/>
    <s v="3029640918445982"/>
    <s v="1.04.00"/>
    <s v="FP Labor - Remote Services Ctr"/>
    <s v="Labor"/>
    <s v="CO-C"/>
    <x v="36"/>
    <x v="7"/>
    <x v="10"/>
    <s v="Billable Contractor"/>
    <m/>
    <s v="ORCL EG"/>
    <s v="502416 - 3WP-EMEA Delivery Middleware - IaaS"/>
    <s v="008U"/>
    <s v="Y"/>
    <s v="Y"/>
    <s v="Unrecognized"/>
    <n v="9"/>
    <s v="AED"/>
    <n v="68.86"/>
    <n v="542.25"/>
    <n v="619.73"/>
    <n v="0"/>
    <n v="4880.2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4957E8"/>
    <s v="1536476373:2"/>
    <s v="1.04.00"/>
    <s v="FP Labor - Remote Services Ctr"/>
    <s v="Labor"/>
    <s v="CO-C"/>
    <x v="36"/>
    <x v="7"/>
    <x v="13"/>
    <s v="Employee"/>
    <s v="5"/>
    <s v="ORCL IN OSSI"/>
    <s v="504526 - 96V:GSC-DB &amp; Options"/>
    <s v="09B3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756922E8"/>
    <s v="1532838111:2"/>
    <s v="1.04.00"/>
    <s v="FP Labor - Remote Services Ctr"/>
    <s v="Labor"/>
    <s v="CO-C"/>
    <x v="36"/>
    <x v="7"/>
    <x v="14"/>
    <s v="Employee"/>
    <s v="5"/>
    <s v="ORCL IN OSSI"/>
    <s v="504526 - 96V:GSC-DB &amp; Options"/>
    <s v="09B4"/>
    <s v="Y"/>
    <s v="Y"/>
    <s v="Unrecognized"/>
    <n v="4"/>
    <s v="AED"/>
    <n v="68.95"/>
    <n v="660.13"/>
    <n v="275.81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842501E8"/>
    <s v="3029647743728131"/>
    <s v="1.04.00"/>
    <s v="FP Labor - Remote Services Ctr"/>
    <s v="Labor"/>
    <s v="CO-C"/>
    <x v="37"/>
    <x v="7"/>
    <x v="9"/>
    <s v="Employee"/>
    <s v="8"/>
    <s v="ORCL EG"/>
    <s v="502416 - 3WP-EMEA Delivery Middleware - IaaS"/>
    <s v="008U"/>
    <s v="Y"/>
    <s v="Y"/>
    <s v="Unrecognized"/>
    <n v="8"/>
    <s v="AED"/>
    <n v="97.38"/>
    <n v="943.05"/>
    <n v="779.02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842792E8"/>
    <s v="3029646260743081"/>
    <s v="1.04.00"/>
    <s v="FP Labor - Remote Services Ctr"/>
    <s v="Labor"/>
    <s v="CO-C"/>
    <x v="37"/>
    <x v="7"/>
    <x v="1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924E8"/>
    <s v="3029653287835781"/>
    <s v="1.04.00"/>
    <s v="FP Labor - Remote Services Ctr"/>
    <s v="Labor"/>
    <s v="CO-C"/>
    <x v="37"/>
    <x v="7"/>
    <x v="1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742E8"/>
    <s v="3029640918446002"/>
    <s v="1.04.00"/>
    <s v="FP Labor - Remote Services Ctr"/>
    <s v="Labor"/>
    <s v="CO-C"/>
    <x v="37"/>
    <x v="7"/>
    <x v="10"/>
    <s v="Billable Contractor"/>
    <m/>
    <s v="ORCL EG"/>
    <s v="502416 - 3WP-EMEA Delivery Middleware - IaaS"/>
    <s v="008U"/>
    <s v="Y"/>
    <s v="Y"/>
    <s v="Unrecognized"/>
    <n v="9"/>
    <s v="AED"/>
    <n v="68.86"/>
    <n v="542.25"/>
    <n v="619.73"/>
    <n v="0"/>
    <n v="4880.2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8757E8"/>
    <s v="1536476372:2"/>
    <s v="1.04.00"/>
    <s v="FP Labor - Remote Services Ctr"/>
    <s v="Labor"/>
    <s v="CO-C"/>
    <x v="37"/>
    <x v="7"/>
    <x v="13"/>
    <s v="Employee"/>
    <s v="5"/>
    <s v="ORCL IN OSSI"/>
    <s v="504526 - 96V:GSC-DB &amp; Options"/>
    <s v="09B3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814316E8"/>
    <s v="1532838113:2"/>
    <s v="1.04.00"/>
    <s v="FP Labor - Remote Services Ctr"/>
    <s v="Labor"/>
    <s v="CO-C"/>
    <x v="37"/>
    <x v="7"/>
    <x v="14"/>
    <s v="Employee"/>
    <s v="5"/>
    <s v="ORCL IN OSSI"/>
    <s v="504526 - 96V:GSC-DB &amp; Options"/>
    <s v="09B4"/>
    <s v="Y"/>
    <s v="Y"/>
    <s v="Unrecognized"/>
    <n v="4"/>
    <s v="AED"/>
    <n v="68.95"/>
    <n v="660.13"/>
    <n v="275.81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00673E8"/>
    <s v="3029646260743101"/>
    <s v="1.04.00"/>
    <s v="FP Labor - Remote Services Ctr"/>
    <s v="Labor"/>
    <s v="CO-C"/>
    <x v="38"/>
    <x v="7"/>
    <x v="1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00703E8"/>
    <s v="3029640887417711"/>
    <s v="1.04.00"/>
    <s v="FP Labor - Remote Services Ctr"/>
    <s v="Labor"/>
    <s v="CO-C"/>
    <x v="38"/>
    <x v="7"/>
    <x v="1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74E8"/>
    <s v="3029653103542561"/>
    <s v="1.04.00"/>
    <s v="FP Labor - Remote Services Ctr"/>
    <s v="Labor"/>
    <s v="CO-C"/>
    <x v="38"/>
    <x v="7"/>
    <x v="10"/>
    <s v="Billable Contractor"/>
    <m/>
    <s v="ORCL EG"/>
    <s v="502416 - 3WP-EMEA Delivery Middleware - IaaS"/>
    <s v="008U"/>
    <s v="Y"/>
    <s v="Y"/>
    <s v="Unrecognized"/>
    <n v="10"/>
    <s v="AED"/>
    <n v="68.86"/>
    <n v="542.25"/>
    <n v="688.59"/>
    <n v="0"/>
    <n v="5422.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26841E8"/>
    <s v="1536476371:2"/>
    <s v="1.04.00"/>
    <s v="FP Labor - Remote Services Ctr"/>
    <s v="Labor"/>
    <s v="CO-C"/>
    <x v="38"/>
    <x v="7"/>
    <x v="13"/>
    <s v="Employee"/>
    <s v="5"/>
    <s v="ORCL IN OSSI"/>
    <s v="504526 - 96V:GSC-DB &amp; Options"/>
    <s v="09B3"/>
    <s v="Y"/>
    <s v="Y"/>
    <s v="Unrecognized"/>
    <n v="8"/>
    <s v="AED"/>
    <n v="68.45"/>
    <n v="660.13"/>
    <n v="547.62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8908006E8"/>
    <s v="1532838115:2"/>
    <s v="1.04.00"/>
    <s v="FP Labor - Remote Services Ctr"/>
    <s v="Labor"/>
    <s v="CO-C"/>
    <x v="38"/>
    <x v="7"/>
    <x v="14"/>
    <s v="Employee"/>
    <s v="5"/>
    <s v="ORCL IN OSSI"/>
    <s v="504526 - 96V:GSC-DB &amp; Options"/>
    <s v="09B4"/>
    <s v="Y"/>
    <s v="Y"/>
    <s v="Unrecognized"/>
    <n v="4"/>
    <s v="AED"/>
    <n v="68.45"/>
    <n v="660.13"/>
    <n v="273.81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031538E8"/>
    <s v="3029646260743121"/>
    <s v="1.04.00"/>
    <s v="FP Labor - Remote Services Ctr"/>
    <s v="Labor"/>
    <s v="CO-C"/>
    <x v="39"/>
    <x v="7"/>
    <x v="1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011571E8"/>
    <s v="3029640887417741"/>
    <s v="1.04.00"/>
    <s v="FP Labor - Remote Services Ctr"/>
    <s v="Labor"/>
    <s v="CO-C"/>
    <x v="39"/>
    <x v="7"/>
    <x v="1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721E8"/>
    <s v="3029653103542581"/>
    <s v="1.04.00"/>
    <s v="FP Labor - Remote Services Ctr"/>
    <s v="Labor"/>
    <s v="CO-C"/>
    <x v="39"/>
    <x v="7"/>
    <x v="10"/>
    <s v="Billable Contractor"/>
    <m/>
    <s v="ORCL EG"/>
    <s v="502416 - 3WP-EMEA Delivery Middleware - IaaS"/>
    <s v="008U"/>
    <s v="Y"/>
    <s v="Y"/>
    <s v="Unrecognized"/>
    <n v="10"/>
    <s v="AED"/>
    <n v="68.86"/>
    <n v="542.25"/>
    <n v="688.59"/>
    <n v="0"/>
    <n v="5422.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807033E8"/>
    <s v="1536476370:2"/>
    <s v="1.04.00"/>
    <s v="FP Labor - Remote Services Ctr"/>
    <s v="Labor"/>
    <s v="CO-C"/>
    <x v="39"/>
    <x v="7"/>
    <x v="13"/>
    <s v="Employee"/>
    <s v="5"/>
    <s v="ORCL IN OSSI"/>
    <s v="504526 - 96V:GSC-DB &amp; Options"/>
    <s v="09B3"/>
    <s v="Y"/>
    <s v="Y"/>
    <s v="Unrecognized"/>
    <n v="8"/>
    <s v="AED"/>
    <n v="68.23"/>
    <n v="660.13"/>
    <n v="545.79999999999995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021789E8"/>
    <s v="1532838107:2"/>
    <s v="1.04.00"/>
    <s v="FP Labor - Remote Services Ctr"/>
    <s v="Labor"/>
    <s v="CO-C"/>
    <x v="39"/>
    <x v="7"/>
    <x v="14"/>
    <s v="Employee"/>
    <s v="5"/>
    <s v="ORCL IN OSSI"/>
    <s v="504526 - 96V:GSC-DB &amp; Options"/>
    <s v="09B4"/>
    <s v="Y"/>
    <s v="Y"/>
    <s v="Unrecognized"/>
    <n v="8"/>
    <s v="AED"/>
    <n v="68.23"/>
    <n v="660.13"/>
    <n v="545.79999999999995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11703E8"/>
    <s v="3029653523898891"/>
    <s v="1.04.00"/>
    <s v="FP Labor - Remote Services Ctr"/>
    <s v="Labor"/>
    <s v="CO-C"/>
    <x v="60"/>
    <x v="8"/>
    <x v="15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94E8"/>
    <s v="3029653286019511"/>
    <s v="1.04.00"/>
    <s v="FP Labor - Remote Services Ctr"/>
    <s v="Labor"/>
    <s v="CO-C"/>
    <x v="61"/>
    <x v="8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605E8"/>
    <s v="3029649700831141"/>
    <s v="1.04.00"/>
    <s v="FP Labor - Remote Services Ctr"/>
    <s v="Labor"/>
    <s v="CO-C"/>
    <x v="61"/>
    <x v="8"/>
    <x v="9"/>
    <s v="Employee"/>
    <s v="8"/>
    <s v="ORCL EG"/>
    <s v="502416 - 3WP-EMEA Delivery Middleware - IaaS"/>
    <s v="008U"/>
    <s v="Y"/>
    <s v="Y"/>
    <s v="Unrecognized"/>
    <n v="8"/>
    <s v="AED"/>
    <n v="96.19"/>
    <n v="943.05"/>
    <n v="769.55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11702E8"/>
    <s v="3029653523898911"/>
    <s v="1.04.00"/>
    <s v="FP Labor - Remote Services Ctr"/>
    <s v="Labor"/>
    <s v="CO-C"/>
    <x v="61"/>
    <x v="8"/>
    <x v="15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941E8"/>
    <s v="3029653286019541"/>
    <s v="1.04.00"/>
    <s v="FP Labor - Remote Services Ctr"/>
    <s v="Labor"/>
    <s v="CO-C"/>
    <x v="40"/>
    <x v="8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60409E8"/>
    <s v="3029649700831161"/>
    <s v="1.04.00"/>
    <s v="FP Labor - Remote Services Ctr"/>
    <s v="Labor"/>
    <s v="CO-C"/>
    <x v="40"/>
    <x v="8"/>
    <x v="9"/>
    <s v="Employee"/>
    <s v="8"/>
    <s v="ORCL EG"/>
    <s v="502416 - 3WP-EMEA Delivery Middleware - IaaS"/>
    <s v="008U"/>
    <s v="Y"/>
    <s v="Y"/>
    <s v="Unrecognized"/>
    <n v="8"/>
    <s v="AED"/>
    <n v="96.19"/>
    <n v="943.05"/>
    <n v="769.55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11701E8"/>
    <s v="3029646259449922"/>
    <s v="1.04.00"/>
    <s v="FP Labor - Remote Services Ctr"/>
    <s v="Labor"/>
    <s v="CO-C"/>
    <x v="40"/>
    <x v="8"/>
    <x v="15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843E8"/>
    <s v="3029653291891791"/>
    <s v="1.04.00"/>
    <s v="FP Labor - Remote Services Ctr"/>
    <s v="Labor"/>
    <s v="CO-C"/>
    <x v="40"/>
    <x v="8"/>
    <x v="1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9E8"/>
    <s v="3029653107881091"/>
    <s v="1.04.00"/>
    <s v="FP Labor - Remote Services Ctr"/>
    <s v="Labor"/>
    <s v="CO-C"/>
    <x v="40"/>
    <x v="8"/>
    <x v="1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00027E8"/>
    <s v="1532838170:2"/>
    <s v="1.04.00"/>
    <s v="FP Labor - Remote Services Ctr"/>
    <s v="Labor"/>
    <s v="CO-C"/>
    <x v="40"/>
    <x v="8"/>
    <x v="14"/>
    <s v="Employee"/>
    <s v="5"/>
    <s v="ORCL IN OSSI"/>
    <s v="504526 - 96V:GSC-DB &amp; Options"/>
    <s v="09B4"/>
    <s v="Y"/>
    <s v="Y"/>
    <s v="Unrecognized"/>
    <n v="4"/>
    <s v="AED"/>
    <n v="68.12"/>
    <n v="660.13"/>
    <n v="272.49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939E8"/>
    <s v="3029653286019571"/>
    <s v="1.04.00"/>
    <s v="FP Labor - Remote Services Ctr"/>
    <s v="Labor"/>
    <s v="CO-C"/>
    <x v="41"/>
    <x v="8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60418E8"/>
    <s v="3029649700831181"/>
    <s v="1.04.00"/>
    <s v="FP Labor - Remote Services Ctr"/>
    <s v="Labor"/>
    <s v="CO-C"/>
    <x v="41"/>
    <x v="8"/>
    <x v="9"/>
    <s v="Employee"/>
    <s v="8"/>
    <s v="ORCL EG"/>
    <s v="502416 - 3WP-EMEA Delivery Middleware - IaaS"/>
    <s v="008U"/>
    <s v="Y"/>
    <s v="Y"/>
    <s v="Unrecognized"/>
    <n v="8"/>
    <s v="AED"/>
    <n v="96.32"/>
    <n v="943.05"/>
    <n v="770.57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11699E8"/>
    <s v="3029646259449942"/>
    <s v="1.04.00"/>
    <s v="FP Labor - Remote Services Ctr"/>
    <s v="Labor"/>
    <s v="CO-C"/>
    <x v="41"/>
    <x v="8"/>
    <x v="15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847E8"/>
    <s v="3029653291891821"/>
    <s v="1.04.00"/>
    <s v="FP Labor - Remote Services Ctr"/>
    <s v="Labor"/>
    <s v="CO-C"/>
    <x v="41"/>
    <x v="8"/>
    <x v="1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99E8"/>
    <s v="3029653107881111"/>
    <s v="1.04.00"/>
    <s v="FP Labor - Remote Services Ctr"/>
    <s v="Labor"/>
    <s v="CO-C"/>
    <x v="41"/>
    <x v="8"/>
    <x v="1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1265E8"/>
    <s v="1532838172:2"/>
    <s v="1.04.00"/>
    <s v="FP Labor - Remote Services Ctr"/>
    <s v="Labor"/>
    <s v="CO-C"/>
    <x v="41"/>
    <x v="8"/>
    <x v="14"/>
    <s v="Employee"/>
    <s v="5"/>
    <s v="ORCL IN OSSI"/>
    <s v="504526 - 96V:GSC-DB &amp; Options"/>
    <s v="09B4"/>
    <s v="Y"/>
    <s v="Y"/>
    <s v="Unrecognized"/>
    <n v="4"/>
    <s v="AED"/>
    <n v="68.17"/>
    <n v="660.13"/>
    <n v="272.66000000000003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945E8"/>
    <s v="3029653286019601"/>
    <s v="1.04.00"/>
    <s v="FP Labor - Remote Services Ctr"/>
    <s v="Labor"/>
    <s v="CO-C"/>
    <x v="42"/>
    <x v="8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60417E8"/>
    <s v="3029649700831201"/>
    <s v="1.04.00"/>
    <s v="FP Labor - Remote Services Ctr"/>
    <s v="Labor"/>
    <s v="CO-C"/>
    <x v="42"/>
    <x v="8"/>
    <x v="9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11697E8"/>
    <s v="3029653523898971"/>
    <s v="1.04.00"/>
    <s v="FP Labor - Remote Services Ctr"/>
    <s v="Labor"/>
    <s v="CO-C"/>
    <x v="42"/>
    <x v="8"/>
    <x v="1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846E8"/>
    <s v="3029653291891851"/>
    <s v="1.04.00"/>
    <s v="FP Labor - Remote Services Ctr"/>
    <s v="Labor"/>
    <s v="CO-C"/>
    <x v="42"/>
    <x v="8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98E8"/>
    <s v="3029653107881131"/>
    <s v="1.04.00"/>
    <s v="FP Labor - Remote Services Ctr"/>
    <s v="Labor"/>
    <s v="CO-C"/>
    <x v="42"/>
    <x v="8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382858E8"/>
    <s v="1532838174:2"/>
    <s v="1.04.00"/>
    <s v="FP Labor - Remote Services Ctr"/>
    <s v="Labor"/>
    <s v="CO-C"/>
    <x v="42"/>
    <x v="8"/>
    <x v="14"/>
    <s v="Employee"/>
    <s v="5"/>
    <s v="ORCL IN OSSI"/>
    <s v="504526 - 96V:GSC-DB &amp; Options"/>
    <s v="09B4"/>
    <s v="Y"/>
    <s v="Y"/>
    <s v="Unrecognized"/>
    <n v="4"/>
    <s v="AED"/>
    <n v="67.94"/>
    <n v="660.13"/>
    <n v="271.76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944E8"/>
    <s v="3029653286019631"/>
    <s v="1.04.00"/>
    <s v="FP Labor - Remote Services Ctr"/>
    <s v="Labor"/>
    <s v="CO-C"/>
    <x v="43"/>
    <x v="8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60361E8"/>
    <s v="3029649700831221"/>
    <s v="1.04.00"/>
    <s v="FP Labor - Remote Services Ctr"/>
    <s v="Labor"/>
    <s v="CO-C"/>
    <x v="43"/>
    <x v="8"/>
    <x v="9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11696E8"/>
    <s v="3029653523898991"/>
    <s v="1.04.00"/>
    <s v="FP Labor - Remote Services Ctr"/>
    <s v="Labor"/>
    <s v="CO-C"/>
    <x v="43"/>
    <x v="8"/>
    <x v="1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845E8"/>
    <s v="3029653291891881"/>
    <s v="1.04.00"/>
    <s v="FP Labor - Remote Services Ctr"/>
    <s v="Labor"/>
    <s v="CO-C"/>
    <x v="43"/>
    <x v="8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97E8"/>
    <s v="3029653107881151"/>
    <s v="1.04.00"/>
    <s v="FP Labor - Remote Services Ctr"/>
    <s v="Labor"/>
    <s v="CO-C"/>
    <x v="43"/>
    <x v="8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35381E8"/>
    <s v="1532838176:2"/>
    <s v="1.04.00"/>
    <s v="FP Labor - Remote Services Ctr"/>
    <s v="Labor"/>
    <s v="CO-C"/>
    <x v="43"/>
    <x v="8"/>
    <x v="14"/>
    <s v="Employee"/>
    <s v="5"/>
    <s v="ORCL IN OSSI"/>
    <s v="504526 - 96V:GSC-DB &amp; Options"/>
    <s v="09B4"/>
    <s v="Y"/>
    <s v="Y"/>
    <s v="Unrecognized"/>
    <n v="4"/>
    <s v="AED"/>
    <n v="67.94"/>
    <n v="660.13"/>
    <n v="271.76"/>
    <n v="0"/>
    <n v="2640.51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848E8"/>
    <s v="3029653291891901"/>
    <s v="1.04.00"/>
    <s v="FP Labor - Remote Services Ctr"/>
    <s v="Labor"/>
    <s v="CO-C"/>
    <x v="44"/>
    <x v="8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896E8"/>
    <s v="3029653107881171"/>
    <s v="1.04.00"/>
    <s v="FP Labor - Remote Services Ctr"/>
    <s v="Labor"/>
    <s v="CO-C"/>
    <x v="44"/>
    <x v="8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51371E8"/>
    <s v="1532838168:2"/>
    <s v="1.04.00"/>
    <s v="FP Labor - Remote Services Ctr"/>
    <s v="Labor"/>
    <s v="CO-C"/>
    <x v="44"/>
    <x v="8"/>
    <x v="14"/>
    <s v="Employee"/>
    <s v="5"/>
    <s v="ORCL IN OSSI"/>
    <s v="504526 - 96V:GSC-DB &amp; Options"/>
    <s v="09B4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60922E8"/>
    <s v="3029651688653051"/>
    <s v="1.04.00"/>
    <s v="FP Labor - Remote Services Ctr"/>
    <s v="Labor"/>
    <s v="CO-C"/>
    <x v="62"/>
    <x v="9"/>
    <x v="9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771E8"/>
    <s v="3029651875529781"/>
    <s v="1.04.00"/>
    <s v="FP Labor - Remote Services Ctr"/>
    <s v="Labor"/>
    <s v="CO-C"/>
    <x v="45"/>
    <x v="9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573E8"/>
    <s v="3029648028451361"/>
    <s v="1.04.00"/>
    <s v="FP Labor - Remote Services Ctr"/>
    <s v="Labor"/>
    <s v="CO-C"/>
    <x v="45"/>
    <x v="9"/>
    <x v="16"/>
    <s v="Billable Contractor"/>
    <m/>
    <s v="ORCL EG"/>
    <s v="502416 - 3WP-EMEA Delivery Middleware - IaaS"/>
    <s v="008U"/>
    <s v="Y"/>
    <s v="Y"/>
    <s v="Unrecognized"/>
    <n v="8"/>
    <s v="AED"/>
    <n v="28.3"/>
    <n v="471.52"/>
    <n v="226.37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403E8"/>
    <s v="3029652134571161"/>
    <s v="1.04.00"/>
    <s v="FP Labor - Remote Services Ctr"/>
    <s v="Labor"/>
    <s v="CO-C"/>
    <x v="45"/>
    <x v="9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60865E8"/>
    <s v="3029651688653071"/>
    <s v="1.04.00"/>
    <s v="FP Labor - Remote Services Ctr"/>
    <s v="Labor"/>
    <s v="CO-C"/>
    <x v="45"/>
    <x v="9"/>
    <x v="9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456E8"/>
    <s v="3029651860759661"/>
    <s v="1.04.00"/>
    <s v="FP Labor - Remote Services Ctr"/>
    <s v="Labor"/>
    <s v="CO-C"/>
    <x v="45"/>
    <x v="9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79689E8"/>
    <s v="1537794134:2"/>
    <s v="1.04.00"/>
    <s v="FP Labor - Remote Services Ctr"/>
    <s v="Labor"/>
    <s v="CO-C"/>
    <x v="45"/>
    <x v="9"/>
    <x v="13"/>
    <s v="Employee"/>
    <s v="5"/>
    <s v="ORCL IN OSSI"/>
    <s v="504526 - 96V:GSC-DB &amp; Options"/>
    <s v="09B3"/>
    <s v="Y"/>
    <s v="Y"/>
    <s v="Unrecognized"/>
    <n v="2"/>
    <s v="AED"/>
    <n v="67.94"/>
    <n v="660.13"/>
    <n v="135.88"/>
    <n v="0"/>
    <n v="1320.2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09527E8"/>
    <s v="1537765454:2"/>
    <s v="1.04.00"/>
    <s v="FP Labor - Remote Services Ctr"/>
    <s v="Labor"/>
    <s v="CO-C"/>
    <x v="45"/>
    <x v="9"/>
    <x v="14"/>
    <s v="Employee"/>
    <s v="5"/>
    <s v="ORCL IN OSSI"/>
    <s v="504526 - 96V:GSC-DB &amp; Options"/>
    <s v="09B4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77E8"/>
    <s v="3029651875529801"/>
    <s v="1.04.00"/>
    <s v="FP Labor - Remote Services Ctr"/>
    <s v="Labor"/>
    <s v="CO-C"/>
    <x v="46"/>
    <x v="9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572E8"/>
    <s v="3029648028451381"/>
    <s v="1.04.00"/>
    <s v="FP Labor - Remote Services Ctr"/>
    <s v="Labor"/>
    <s v="CO-C"/>
    <x v="46"/>
    <x v="9"/>
    <x v="16"/>
    <s v="Billable Contractor"/>
    <m/>
    <s v="ORCL EG"/>
    <s v="502416 - 3WP-EMEA Delivery Middleware - IaaS"/>
    <s v="008U"/>
    <s v="Y"/>
    <s v="Y"/>
    <s v="Unrecognized"/>
    <n v="8"/>
    <s v="AED"/>
    <n v="28.3"/>
    <n v="471.52"/>
    <n v="226.37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402E8"/>
    <s v="3029652134571191"/>
    <s v="1.04.00"/>
    <s v="FP Labor - Remote Services Ctr"/>
    <s v="Labor"/>
    <s v="CO-C"/>
    <x v="46"/>
    <x v="9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460864E8"/>
    <s v="3029651688653091"/>
    <s v="1.04.00"/>
    <s v="FP Labor - Remote Services Ctr"/>
    <s v="Labor"/>
    <s v="CO-C"/>
    <x v="46"/>
    <x v="9"/>
    <x v="9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454E8"/>
    <s v="3029651860759691"/>
    <s v="1.04.00"/>
    <s v="FP Labor - Remote Services Ctr"/>
    <s v="Labor"/>
    <s v="CO-C"/>
    <x v="46"/>
    <x v="9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268E8"/>
    <s v="1537794127:2"/>
    <s v="1.04.00"/>
    <s v="FP Labor - Remote Services Ctr"/>
    <s v="Labor"/>
    <s v="CO-C"/>
    <x v="46"/>
    <x v="9"/>
    <x v="13"/>
    <s v="Employee"/>
    <s v="5"/>
    <s v="ORCL IN OSSI"/>
    <s v="504526 - 96V:GSC-DB &amp; Options"/>
    <s v="09B3"/>
    <s v="Y"/>
    <s v="Y"/>
    <s v="Unrecognized"/>
    <n v="2"/>
    <s v="AED"/>
    <n v="67.94"/>
    <n v="660.13"/>
    <n v="135.88"/>
    <n v="0"/>
    <n v="1320.2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09138E8"/>
    <s v="1537765455:2"/>
    <s v="1.04.00"/>
    <s v="FP Labor - Remote Services Ctr"/>
    <s v="Labor"/>
    <s v="CO-C"/>
    <x v="46"/>
    <x v="9"/>
    <x v="14"/>
    <s v="Employee"/>
    <s v="5"/>
    <s v="ORCL IN OSSI"/>
    <s v="504526 - 96V:GSC-DB &amp; Options"/>
    <s v="09B4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769E8"/>
    <s v="3029651875529821"/>
    <s v="1.04.00"/>
    <s v="FP Labor - Remote Services Ctr"/>
    <s v="Labor"/>
    <s v="CO-C"/>
    <x v="47"/>
    <x v="9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724E8"/>
    <s v="3029651866394771"/>
    <s v="1.04.00"/>
    <s v="FP Labor - Remote Services Ctr"/>
    <s v="Labor"/>
    <s v="CO-C"/>
    <x v="47"/>
    <x v="9"/>
    <x v="16"/>
    <s v="Billable Contractor"/>
    <m/>
    <s v="ORCL EG"/>
    <s v="502416 - 3WP-EMEA Delivery Middleware - IaaS"/>
    <s v="008U"/>
    <s v="Y"/>
    <s v="Y"/>
    <s v="Unrecognized"/>
    <n v="8"/>
    <s v="AED"/>
    <n v="28.3"/>
    <n v="471.52"/>
    <n v="226.37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4E8"/>
    <s v="3029652134571211"/>
    <s v="1.04.00"/>
    <s v="FP Labor - Remote Services Ctr"/>
    <s v="Labor"/>
    <s v="CO-C"/>
    <x v="47"/>
    <x v="9"/>
    <x v="12"/>
    <s v="Billable Contractor"/>
    <m/>
    <s v="ORCL EG"/>
    <s v="509485 - 73M: EMEA Business Analytics - P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767E8"/>
    <s v="3029651688653111"/>
    <s v="1.04.00"/>
    <s v="FP Labor - Remote Services Ctr"/>
    <s v="Labor"/>
    <s v="CO-C"/>
    <x v="47"/>
    <x v="9"/>
    <x v="9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2658E8"/>
    <s v="3029651880729491"/>
    <s v="1.04.00"/>
    <s v="FP Labor - Remote Services Ctr"/>
    <s v="Labor"/>
    <s v="CO-C"/>
    <x v="47"/>
    <x v="9"/>
    <x v="1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452E8"/>
    <s v="3029651860759721"/>
    <s v="1.04.00"/>
    <s v="FP Labor - Remote Services Ctr"/>
    <s v="Labor"/>
    <s v="CO-C"/>
    <x v="47"/>
    <x v="9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78026E8"/>
    <s v="1537794129:2"/>
    <s v="1.04.00"/>
    <s v="FP Labor - Remote Services Ctr"/>
    <s v="Labor"/>
    <s v="CO-C"/>
    <x v="47"/>
    <x v="9"/>
    <x v="13"/>
    <s v="Employee"/>
    <s v="5"/>
    <s v="ORCL IN OSSI"/>
    <s v="504526 - 96V:GSC-DB &amp; Options"/>
    <s v="09B3"/>
    <s v="Y"/>
    <s v="Y"/>
    <s v="Unrecognized"/>
    <n v="2"/>
    <s v="AED"/>
    <n v="67.94"/>
    <n v="660.13"/>
    <n v="135.88"/>
    <n v="0"/>
    <n v="1320.25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09139E8"/>
    <s v="1537765456:2"/>
    <s v="1.04.00"/>
    <s v="FP Labor - Remote Services Ctr"/>
    <s v="Labor"/>
    <s v="CO-C"/>
    <x v="47"/>
    <x v="9"/>
    <x v="14"/>
    <s v="Employee"/>
    <s v="5"/>
    <s v="ORCL IN OSSI"/>
    <s v="504526 - 96V:GSC-DB &amp; Options"/>
    <s v="09B4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65806E8"/>
    <s v="3029651875529841"/>
    <s v="1.04.00"/>
    <s v="FP Labor - Remote Services Ctr"/>
    <s v="Labor"/>
    <s v="CO-C"/>
    <x v="48"/>
    <x v="9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65808E8"/>
    <s v="3029651865075061"/>
    <s v="1.04.00"/>
    <s v="FP Labor - Remote Services Ctr"/>
    <s v="Labor"/>
    <s v="CO-C"/>
    <x v="48"/>
    <x v="9"/>
    <x v="16"/>
    <s v="Billable Contractor"/>
    <m/>
    <s v="ORCL EG"/>
    <s v="502416 - 3WP-EMEA Delivery Middleware - IaaS"/>
    <s v="008U"/>
    <s v="Y"/>
    <s v="Y"/>
    <s v="Unrecognized"/>
    <n v="4"/>
    <s v="AED"/>
    <n v="28.3"/>
    <n v="471.52"/>
    <n v="113.18"/>
    <n v="0"/>
    <n v="1886.0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65803E8"/>
    <s v="3029651688653131"/>
    <s v="1.04.00"/>
    <s v="FP Labor - Remote Services Ctr"/>
    <s v="Labor"/>
    <s v="CO-C"/>
    <x v="48"/>
    <x v="9"/>
    <x v="9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65782E8"/>
    <s v="3029651880729511"/>
    <s v="1.04.00"/>
    <s v="FP Labor - Remote Services Ctr"/>
    <s v="Labor"/>
    <s v="CO-C"/>
    <x v="48"/>
    <x v="9"/>
    <x v="1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429E8"/>
    <s v="3029651860759751"/>
    <s v="1.04.00"/>
    <s v="FP Labor - Remote Services Ctr"/>
    <s v="Labor"/>
    <s v="CO-C"/>
    <x v="48"/>
    <x v="9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829695E8"/>
    <s v="1537794131:2"/>
    <s v="1.04.00"/>
    <s v="FP Labor - Remote Services Ctr"/>
    <s v="Labor"/>
    <s v="CO-C"/>
    <x v="48"/>
    <x v="9"/>
    <x v="13"/>
    <s v="Employee"/>
    <s v="5"/>
    <s v="ORCL IN OSSI"/>
    <s v="504526 - 96V:GSC-DB &amp; Options"/>
    <s v="09B3"/>
    <s v="Y"/>
    <s v="Y"/>
    <s v="Unrecognized"/>
    <n v="1"/>
    <s v="AED"/>
    <n v="67.94"/>
    <n v="660.13"/>
    <n v="67.94"/>
    <n v="0"/>
    <n v="660.1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08794E8"/>
    <s v="1537765457:2"/>
    <s v="1.04.00"/>
    <s v="FP Labor - Remote Services Ctr"/>
    <s v="Labor"/>
    <s v="CO-C"/>
    <x v="48"/>
    <x v="9"/>
    <x v="14"/>
    <s v="Employee"/>
    <s v="5"/>
    <s v="ORCL IN OSSI"/>
    <s v="504526 - 96V:GSC-DB &amp; Options"/>
    <s v="09B4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291E8"/>
    <s v="3029651875529861"/>
    <s v="1.04.00"/>
    <s v="FP Labor - Remote Services Ctr"/>
    <s v="Labor"/>
    <s v="CO-C"/>
    <x v="49"/>
    <x v="9"/>
    <x v="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398E8"/>
    <s v="3029652134571261"/>
    <s v="1.04.00"/>
    <s v="FP Labor - Remote Services Ctr"/>
    <s v="Labor"/>
    <s v="CO-C"/>
    <x v="49"/>
    <x v="9"/>
    <x v="12"/>
    <s v="Billable Contractor"/>
    <m/>
    <s v="ORCL EG"/>
    <s v="509485 - 73M: EMEA Business Analytics - P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24369E8"/>
    <s v="3029651880729531"/>
    <s v="1.04.00"/>
    <s v="FP Labor - Remote Services Ctr"/>
    <s v="Labor"/>
    <s v="CO-C"/>
    <x v="49"/>
    <x v="9"/>
    <x v="1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825E8"/>
    <s v="3029653291890871"/>
    <s v="1.04.00"/>
    <s v="FP Labor - Remote Services Ctr"/>
    <s v="Labor"/>
    <s v="CO-C"/>
    <x v="49"/>
    <x v="9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0993298E8"/>
    <s v="1537794133:2"/>
    <s v="1.04.00"/>
    <s v="FP Labor - Remote Services Ctr"/>
    <s v="Labor"/>
    <s v="CO-C"/>
    <x v="49"/>
    <x v="9"/>
    <x v="13"/>
    <s v="Employee"/>
    <s v="5"/>
    <s v="ORCL IN OSSI"/>
    <s v="504526 - 96V:GSC-DB &amp; Options"/>
    <s v="09B3"/>
    <s v="Y"/>
    <s v="Y"/>
    <s v="Unrecognized"/>
    <n v="1"/>
    <s v="AED"/>
    <n v="67.94"/>
    <n v="660.13"/>
    <n v="67.94"/>
    <n v="0"/>
    <n v="660.1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09386E8"/>
    <s v="1537765453:2"/>
    <s v="1.04.00"/>
    <s v="FP Labor - Remote Services Ctr"/>
    <s v="Labor"/>
    <s v="CO-C"/>
    <x v="49"/>
    <x v="9"/>
    <x v="14"/>
    <s v="Employee"/>
    <s v="5"/>
    <s v="ORCL IN OSSI"/>
    <s v="504526 - 96V:GSC-DB &amp; Options"/>
    <s v="09B4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699E8"/>
    <s v="3029653278816571"/>
    <s v="1.04.00"/>
    <s v="FP Labor - Remote Services Ctr"/>
    <s v="Labor"/>
    <s v="CO-C"/>
    <x v="63"/>
    <x v="10"/>
    <x v="16"/>
    <s v="Billable Contractor"/>
    <m/>
    <s v="ORCL EG"/>
    <s v="502416 - 3WP-EMEA Delivery Middleware - IaaS"/>
    <s v="008U"/>
    <s v="Y"/>
    <s v="Y"/>
    <s v="Unrecognized"/>
    <n v="8"/>
    <s v="AED"/>
    <n v="28.3"/>
    <n v="471.52"/>
    <n v="226.37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099688E8"/>
    <s v="3029653023188152"/>
    <s v="1.04.00"/>
    <s v="FP Labor - Remote Services Ctr"/>
    <s v="Labor"/>
    <s v="CO-C"/>
    <x v="63"/>
    <x v="10"/>
    <x v="9"/>
    <s v="Employee"/>
    <s v="8"/>
    <s v="ORCL EG"/>
    <s v="502416 - 3WP-EMEA Delivery Middleware - IaaS"/>
    <s v="008U"/>
    <s v="Y"/>
    <s v="Y"/>
    <s v="Unrecognized"/>
    <n v="16"/>
    <s v="AED"/>
    <n v="95.91"/>
    <n v="943.05"/>
    <n v="1534.54"/>
    <n v="0"/>
    <n v="15088.7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734634E8"/>
    <s v="3029653526951221"/>
    <s v="1.04.00"/>
    <s v="FP Labor - Remote Services Ctr"/>
    <s v="Labor"/>
    <s v="CO-C"/>
    <x v="63"/>
    <x v="10"/>
    <x v="1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698E8"/>
    <s v="3029653278816591"/>
    <s v="1.04.00"/>
    <s v="FP Labor - Remote Services Ctr"/>
    <s v="Labor"/>
    <s v="CO-C"/>
    <x v="64"/>
    <x v="10"/>
    <x v="16"/>
    <s v="Billable Contractor"/>
    <m/>
    <s v="ORCL EG"/>
    <s v="502416 - 3WP-EMEA Delivery Middleware - IaaS"/>
    <s v="008U"/>
    <s v="Y"/>
    <s v="Y"/>
    <s v="Unrecognized"/>
    <n v="16"/>
    <s v="AED"/>
    <n v="28.3"/>
    <n v="471.52"/>
    <n v="452.73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34289E8"/>
    <s v="3029653023188172"/>
    <s v="1.04.00"/>
    <s v="FP Labor - Remote Services Ctr"/>
    <s v="Labor"/>
    <s v="CO-C"/>
    <x v="64"/>
    <x v="10"/>
    <x v="9"/>
    <s v="Employee"/>
    <s v="8"/>
    <s v="ORCL EG"/>
    <s v="502416 - 3WP-EMEA Delivery Middleware - IaaS"/>
    <s v="008U"/>
    <s v="Y"/>
    <s v="Y"/>
    <s v="Unrecognized"/>
    <n v="16"/>
    <s v="AED"/>
    <n v="95.91"/>
    <n v="943.05"/>
    <n v="1534.54"/>
    <n v="0"/>
    <n v="15088.7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734633E8"/>
    <s v="3029653526951251"/>
    <s v="1.04.00"/>
    <s v="FP Labor - Remote Services Ctr"/>
    <s v="Labor"/>
    <s v="CO-C"/>
    <x v="64"/>
    <x v="10"/>
    <x v="1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66023E8"/>
    <s v="3029653508517801"/>
    <s v="1.04.00"/>
    <s v="FP Labor - Remote Services Ctr"/>
    <s v="Labor"/>
    <s v="CO-C"/>
    <x v="50"/>
    <x v="10"/>
    <x v="1"/>
    <s v="Billable Contractor"/>
    <m/>
    <s v="ORCL EG"/>
    <s v="502416 - 3WP-EMEA Delivery Middleware - I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696E8"/>
    <s v="3029648027523622"/>
    <s v="1.04.00"/>
    <s v="FP Labor - Remote Services Ctr"/>
    <s v="Labor"/>
    <s v="CO-C"/>
    <x v="50"/>
    <x v="10"/>
    <x v="16"/>
    <s v="Billable Contractor"/>
    <m/>
    <s v="ORCL EG"/>
    <s v="502416 - 3WP-EMEA Delivery Middleware - IaaS"/>
    <s v="008U"/>
    <s v="Y"/>
    <s v="Y"/>
    <s v="Unrecognized"/>
    <n v="16"/>
    <s v="AED"/>
    <n v="28.3"/>
    <n v="471.52"/>
    <n v="452.73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944E8"/>
    <s v="3029653274869021"/>
    <s v="1.04.00"/>
    <s v="FP Labor - Remote Services Ctr"/>
    <s v="Labor"/>
    <s v="CO-C"/>
    <x v="50"/>
    <x v="10"/>
    <x v="1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941E8"/>
    <s v="3029653023188192"/>
    <s v="1.04.00"/>
    <s v="FP Labor - Remote Services Ctr"/>
    <s v="Labor"/>
    <s v="CO-C"/>
    <x v="50"/>
    <x v="10"/>
    <x v="9"/>
    <s v="Employee"/>
    <s v="8"/>
    <s v="ORCL EG"/>
    <s v="502416 - 3WP-EMEA Delivery Middleware - IaaS"/>
    <s v="008U"/>
    <s v="Y"/>
    <s v="Y"/>
    <s v="Unrecognized"/>
    <n v="16"/>
    <s v="AED"/>
    <n v="95.91"/>
    <n v="943.05"/>
    <n v="1534.54"/>
    <n v="0"/>
    <n v="15088.74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734632E8"/>
    <s v="3029653526951281"/>
    <s v="1.04.00"/>
    <s v="FP Labor - Remote Services Ctr"/>
    <s v="Labor"/>
    <s v="CO-C"/>
    <x v="50"/>
    <x v="10"/>
    <x v="1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709E8"/>
    <s v="3029653291494541"/>
    <s v="1.04.00"/>
    <s v="FP Labor - Remote Services Ctr"/>
    <s v="Labor"/>
    <s v="CO-C"/>
    <x v="50"/>
    <x v="10"/>
    <x v="11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59945E8"/>
    <s v="3029653284987011"/>
    <s v="1.04.00"/>
    <s v="FP Labor - Remote Services Ctr"/>
    <s v="Labor"/>
    <s v="CO-C"/>
    <x v="50"/>
    <x v="10"/>
    <x v="1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193796E8"/>
    <s v="1538380955:1"/>
    <s v="1.04.00"/>
    <s v="FP Labor - Remote Services Ctr"/>
    <s v="Labor"/>
    <s v="CO-C"/>
    <x v="50"/>
    <x v="10"/>
    <x v="14"/>
    <s v="Employee"/>
    <s v="5"/>
    <s v="ORCL IN OSSI"/>
    <s v="504526 - 96V:GSC-DB &amp; Options"/>
    <s v="09B4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28476E8"/>
    <s v="3029653508517821"/>
    <s v="1.04.00"/>
    <s v="FP Labor - Remote Services Ctr"/>
    <s v="Labor"/>
    <s v="CO-C"/>
    <x v="51"/>
    <x v="10"/>
    <x v="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2833E8"/>
    <s v="3029648027523642"/>
    <s v="1.04.00"/>
    <s v="FP Labor - Remote Services Ctr"/>
    <s v="Labor"/>
    <s v="CO-C"/>
    <x v="51"/>
    <x v="10"/>
    <x v="16"/>
    <s v="Billable Contractor"/>
    <m/>
    <s v="ORCL EG"/>
    <s v="502416 - 3WP-EMEA Delivery Middleware - IaaS"/>
    <s v="008U"/>
    <s v="Y"/>
    <s v="Y"/>
    <s v="Unrecognized"/>
    <n v="16"/>
    <s v="AED"/>
    <n v="28.27"/>
    <n v="471.52"/>
    <n v="452.31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28299E8"/>
    <s v="3029653274869041"/>
    <s v="1.04.00"/>
    <s v="FP Labor - Remote Services Ctr"/>
    <s v="Labor"/>
    <s v="CO-C"/>
    <x v="51"/>
    <x v="10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28468E8"/>
    <s v="3029653023188211"/>
    <s v="1.04.00"/>
    <s v="FP Labor - Remote Services Ctr"/>
    <s v="Labor"/>
    <s v="CO-C"/>
    <x v="51"/>
    <x v="10"/>
    <x v="9"/>
    <s v="Employee"/>
    <s v="8"/>
    <s v="ORCL EG"/>
    <s v="502416 - 3WP-EMEA Delivery Middleware - IaaS"/>
    <s v="008U"/>
    <s v="Y"/>
    <s v="Y"/>
    <s v="Unrecognized"/>
    <n v="8"/>
    <s v="AED"/>
    <n v="95.82"/>
    <n v="943.05"/>
    <n v="766.56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72707E8"/>
    <s v="3029653291494571"/>
    <s v="1.04.00"/>
    <s v="FP Labor - Remote Services Ctr"/>
    <s v="Labor"/>
    <s v="CO-C"/>
    <x v="51"/>
    <x v="10"/>
    <x v="1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44682E8"/>
    <s v="1538380956:1"/>
    <s v="1.04.00"/>
    <s v="FP Labor - Remote Services Ctr"/>
    <s v="Labor"/>
    <s v="CO-C"/>
    <x v="51"/>
    <x v="10"/>
    <x v="14"/>
    <s v="Employee"/>
    <s v="5"/>
    <s v="ORCL IN OSSI"/>
    <s v="504526 - 96V:GSC-DB &amp; Options"/>
    <s v="09B4"/>
    <s v="Y"/>
    <s v="Y"/>
    <s v="Unrecognized"/>
    <n v="16"/>
    <s v="AED"/>
    <n v="67.37"/>
    <n v="660.13"/>
    <n v="1077.8599999999999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528E8"/>
    <s v="3029653508517841"/>
    <s v="1.04.00"/>
    <s v="FP Labor - Remote Services Ctr"/>
    <s v="Labor"/>
    <s v="CO-C"/>
    <x v="52"/>
    <x v="10"/>
    <x v="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41443E8"/>
    <s v="3029648027523671"/>
    <s v="1.04.00"/>
    <s v="FP Labor - Remote Services Ctr"/>
    <s v="Labor"/>
    <s v="CO-C"/>
    <x v="52"/>
    <x v="10"/>
    <x v="16"/>
    <s v="Billable Contractor"/>
    <m/>
    <s v="ORCL EG"/>
    <s v="502416 - 3WP-EMEA Delivery Middleware - IaaS"/>
    <s v="008U"/>
    <s v="Y"/>
    <s v="Y"/>
    <s v="Unrecognized"/>
    <n v="8"/>
    <s v="AED"/>
    <n v="28.22"/>
    <n v="471.52"/>
    <n v="225.75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61936E8"/>
    <s v="3029653274869061"/>
    <s v="1.04.00"/>
    <s v="FP Labor - Remote Services Ctr"/>
    <s v="Labor"/>
    <s v="CO-C"/>
    <x v="52"/>
    <x v="10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501E8"/>
    <s v="3029653023188231"/>
    <s v="1.04.00"/>
    <s v="FP Labor - Remote Services Ctr"/>
    <s v="Labor"/>
    <s v="CO-C"/>
    <x v="52"/>
    <x v="10"/>
    <x v="9"/>
    <s v="Employee"/>
    <s v="8"/>
    <s v="ORCL EG"/>
    <s v="502416 - 3WP-EMEA Delivery Middleware - IaaS"/>
    <s v="008U"/>
    <s v="Y"/>
    <s v="Y"/>
    <s v="Unrecognized"/>
    <n v="8"/>
    <s v="AED"/>
    <n v="95.65"/>
    <n v="943.05"/>
    <n v="765.18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7418E8"/>
    <s v="3029653291494601"/>
    <s v="1.04.00"/>
    <s v="FP Labor - Remote Services Ctr"/>
    <s v="Labor"/>
    <s v="CO-C"/>
    <x v="52"/>
    <x v="10"/>
    <x v="1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0176E8"/>
    <s v="1538380957:1"/>
    <s v="1.04.00"/>
    <s v="FP Labor - Remote Services Ctr"/>
    <s v="Labor"/>
    <s v="CO-C"/>
    <x v="52"/>
    <x v="10"/>
    <x v="14"/>
    <s v="Employee"/>
    <s v="5"/>
    <s v="ORCL IN OSSI"/>
    <s v="504526 - 96V:GSC-DB &amp; Options"/>
    <s v="09B4"/>
    <s v="Y"/>
    <s v="Y"/>
    <s v="Unrecognized"/>
    <n v="16"/>
    <s v="AED"/>
    <n v="67.14"/>
    <n v="660.13"/>
    <n v="1074.27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61338E8"/>
    <s v="3029653508517861"/>
    <s v="1.04.00"/>
    <s v="FP Labor - Remote Services Ctr"/>
    <s v="Labor"/>
    <s v="CO-C"/>
    <x v="53"/>
    <x v="10"/>
    <x v="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61444E8"/>
    <s v="3029653278816691"/>
    <s v="1.04.00"/>
    <s v="FP Labor - Remote Services Ctr"/>
    <s v="Labor"/>
    <s v="CO-C"/>
    <x v="53"/>
    <x v="10"/>
    <x v="16"/>
    <s v="Billable Contractor"/>
    <m/>
    <s v="ORCL EG"/>
    <s v="502416 - 3WP-EMEA Delivery Middleware - IaaS"/>
    <s v="008U"/>
    <s v="Y"/>
    <s v="Y"/>
    <s v="Unrecognized"/>
    <n v="8"/>
    <s v="AED"/>
    <n v="28.22"/>
    <n v="471.52"/>
    <n v="225.76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61523E8"/>
    <s v="3029653274869081"/>
    <s v="1.04.00"/>
    <s v="FP Labor - Remote Services Ctr"/>
    <s v="Labor"/>
    <s v="CO-C"/>
    <x v="53"/>
    <x v="10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61513E8"/>
    <s v="3029653023188251"/>
    <s v="1.04.00"/>
    <s v="FP Labor - Remote Services Ctr"/>
    <s v="Labor"/>
    <s v="CO-C"/>
    <x v="53"/>
    <x v="10"/>
    <x v="9"/>
    <s v="Employee"/>
    <s v="8"/>
    <s v="ORCL EG"/>
    <s v="502416 - 3WP-EMEA Delivery Middleware - IaaS"/>
    <s v="008U"/>
    <s v="Y"/>
    <s v="Y"/>
    <s v="Unrecognized"/>
    <n v="8"/>
    <s v="AED"/>
    <n v="95.65"/>
    <n v="943.05"/>
    <n v="765.22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361491E8"/>
    <s v="3029653291494631"/>
    <s v="1.04.00"/>
    <s v="FP Labor - Remote Services Ctr"/>
    <s v="Labor"/>
    <s v="CO-C"/>
    <x v="53"/>
    <x v="10"/>
    <x v="1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292921E8"/>
    <s v="1538380958:1"/>
    <s v="1.04.00"/>
    <s v="FP Labor - Remote Services Ctr"/>
    <s v="Labor"/>
    <s v="CO-C"/>
    <x v="53"/>
    <x v="10"/>
    <x v="14"/>
    <s v="Employee"/>
    <s v="5"/>
    <s v="ORCL IN OSSI"/>
    <s v="504526 - 96V:GSC-DB &amp; Options"/>
    <s v="09B4"/>
    <s v="Y"/>
    <s v="Y"/>
    <s v="Unrecognized"/>
    <n v="16"/>
    <s v="AED"/>
    <n v="67.08"/>
    <n v="660.13"/>
    <n v="1073.3399999999999"/>
    <n v="0"/>
    <n v="10562.03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70006E8"/>
    <s v="3029653508517881"/>
    <s v="1.04.00"/>
    <s v="FP Labor - Remote Services Ctr"/>
    <s v="Labor"/>
    <s v="CO-C"/>
    <x v="54"/>
    <x v="10"/>
    <x v="1"/>
    <s v="Billable Contractor"/>
    <m/>
    <s v="ORCL EG"/>
    <s v="502416 - 3WP-EMEA Delivery Middleware - I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70166E8"/>
    <s v="3029653278816721"/>
    <s v="1.04.00"/>
    <s v="FP Labor - Remote Services Ctr"/>
    <s v="Labor"/>
    <s v="CO-C"/>
    <x v="54"/>
    <x v="10"/>
    <x v="16"/>
    <s v="Billable Contractor"/>
    <m/>
    <s v="ORCL EG"/>
    <s v="502416 - 3WP-EMEA Delivery Middleware - IaaS"/>
    <s v="008U"/>
    <s v="Y"/>
    <s v="Y"/>
    <s v="Unrecognized"/>
    <n v="8"/>
    <s v="AED"/>
    <n v="28.23"/>
    <n v="471.52"/>
    <n v="225.82"/>
    <n v="0"/>
    <n v="3772.1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69992E8"/>
    <s v="3029653274869101"/>
    <s v="1.04.00"/>
    <s v="FP Labor - Remote Services Ctr"/>
    <s v="Labor"/>
    <s v="CO-C"/>
    <x v="54"/>
    <x v="10"/>
    <x v="1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69991E8"/>
    <s v="3029653023188271"/>
    <s v="1.04.00"/>
    <s v="FP Labor - Remote Services Ctr"/>
    <s v="Labor"/>
    <s v="CO-C"/>
    <x v="54"/>
    <x v="10"/>
    <x v="9"/>
    <s v="Employee"/>
    <s v="8"/>
    <s v="ORCL EG"/>
    <s v="502416 - 3WP-EMEA Delivery Middleware - IaaS"/>
    <s v="008U"/>
    <s v="Y"/>
    <s v="Y"/>
    <s v="Unrecognized"/>
    <n v="8"/>
    <s v="AED"/>
    <n v="95.68"/>
    <n v="943.05"/>
    <n v="765.4"/>
    <n v="0"/>
    <n v="7544.37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69972E8"/>
    <s v="3029653291494661"/>
    <s v="1.04.00"/>
    <s v="FP Labor - Remote Services Ctr"/>
    <s v="Labor"/>
    <s v="CO-C"/>
    <x v="54"/>
    <x v="10"/>
    <x v="11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398318"/>
    <s v="A8XQVP_FP_Solution+_Workload Migration"/>
    <m/>
    <s v="FP"/>
    <s v="Active"/>
    <s v="khaled.selim@oracle.com"/>
    <s v="Business Management Solutions LLC"/>
    <s v="301020783"/>
    <s v="A8XQVP_FP_Solution+_Workload Migration_400398318"/>
    <s v="A_1.00.00_LAB_PO Customer_SP-PO-102209"/>
    <s v="A38179"/>
    <s v="2.10469867E8"/>
    <s v="1538380954:1"/>
    <s v="1.04.00"/>
    <s v="FP Labor - Remote Services Ctr"/>
    <s v="Labor"/>
    <s v="CO-C"/>
    <x v="54"/>
    <x v="10"/>
    <x v="14"/>
    <s v="Employee"/>
    <s v="5"/>
    <s v="ORCL IN OSSI"/>
    <s v="504526 - 96V:GSC-DB &amp; Options"/>
    <s v="09B4"/>
    <s v="Y"/>
    <s v="Y"/>
    <s v="Unrecognized"/>
    <n v="16"/>
    <s v="AED"/>
    <n v="67.040000000000006"/>
    <n v="660.13"/>
    <n v="1072.71"/>
    <n v="0"/>
    <n v="10562.03"/>
    <n v="0"/>
    <n v="0"/>
    <m/>
  </r>
  <r>
    <m/>
    <m/>
    <s v="Number of Rows :"/>
    <s v="380"/>
    <m/>
    <m/>
    <m/>
    <m/>
    <m/>
    <m/>
    <m/>
    <m/>
    <m/>
    <m/>
    <m/>
    <m/>
    <m/>
    <m/>
    <m/>
    <m/>
    <x v="65"/>
    <x v="12"/>
    <x v="17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8">
  <r>
    <x v="0"/>
    <x v="0"/>
    <n v="8"/>
  </r>
  <r>
    <x v="0"/>
    <x v="1"/>
    <n v="8"/>
  </r>
  <r>
    <x v="0"/>
    <x v="2"/>
    <n v="8"/>
  </r>
  <r>
    <x v="0"/>
    <x v="3"/>
    <n v="8"/>
  </r>
  <r>
    <x v="0"/>
    <x v="4"/>
    <n v="8"/>
  </r>
  <r>
    <x v="0"/>
    <x v="0"/>
    <n v="8"/>
  </r>
  <r>
    <x v="0"/>
    <x v="2"/>
    <n v="8"/>
  </r>
  <r>
    <x v="0"/>
    <x v="3"/>
    <n v="8"/>
  </r>
  <r>
    <x v="0"/>
    <x v="4"/>
    <n v="8"/>
  </r>
  <r>
    <x v="0"/>
    <x v="0"/>
    <n v="8"/>
  </r>
  <r>
    <x v="0"/>
    <x v="2"/>
    <n v="8"/>
  </r>
  <r>
    <x v="0"/>
    <x v="3"/>
    <n v="8"/>
  </r>
  <r>
    <x v="0"/>
    <x v="4"/>
    <n v="8"/>
  </r>
  <r>
    <x v="0"/>
    <x v="2"/>
    <n v="8"/>
  </r>
  <r>
    <x v="0"/>
    <x v="3"/>
    <n v="8"/>
  </r>
  <r>
    <x v="0"/>
    <x v="4"/>
    <n v="8"/>
  </r>
  <r>
    <x v="0"/>
    <x v="2"/>
    <n v="8"/>
  </r>
  <r>
    <x v="0"/>
    <x v="4"/>
    <n v="8"/>
  </r>
  <r>
    <x v="1"/>
    <x v="1"/>
    <n v="8"/>
  </r>
  <r>
    <x v="1"/>
    <x v="2"/>
    <n v="8"/>
  </r>
  <r>
    <x v="1"/>
    <x v="3"/>
    <n v="8"/>
  </r>
  <r>
    <x v="1"/>
    <x v="4"/>
    <n v="8"/>
  </r>
  <r>
    <x v="1"/>
    <x v="1"/>
    <n v="8"/>
  </r>
  <r>
    <x v="1"/>
    <x v="2"/>
    <n v="8"/>
  </r>
  <r>
    <x v="1"/>
    <x v="3"/>
    <n v="8"/>
  </r>
  <r>
    <x v="1"/>
    <x v="4"/>
    <n v="8"/>
  </r>
  <r>
    <x v="1"/>
    <x v="2"/>
    <n v="8"/>
  </r>
  <r>
    <x v="1"/>
    <x v="3"/>
    <n v="8"/>
  </r>
  <r>
    <x v="1"/>
    <x v="4"/>
    <n v="8"/>
  </r>
  <r>
    <x v="1"/>
    <x v="2"/>
    <n v="8"/>
  </r>
  <r>
    <x v="1"/>
    <x v="4"/>
    <n v="8"/>
  </r>
  <r>
    <x v="1"/>
    <x v="2"/>
    <n v="8"/>
  </r>
  <r>
    <x v="1"/>
    <x v="4"/>
    <n v="8"/>
  </r>
  <r>
    <x v="2"/>
    <x v="5"/>
    <n v="8"/>
  </r>
  <r>
    <x v="2"/>
    <x v="5"/>
    <n v="8"/>
  </r>
  <r>
    <x v="2"/>
    <x v="1"/>
    <n v="8"/>
  </r>
  <r>
    <x v="2"/>
    <x v="6"/>
    <n v="14.4"/>
  </r>
  <r>
    <x v="2"/>
    <x v="5"/>
    <n v="4"/>
  </r>
  <r>
    <x v="2"/>
    <x v="1"/>
    <n v="8"/>
  </r>
  <r>
    <x v="2"/>
    <x v="6"/>
    <n v="14.4"/>
  </r>
  <r>
    <x v="2"/>
    <x v="1"/>
    <n v="8"/>
  </r>
  <r>
    <x v="2"/>
    <x v="6"/>
    <n v="14.4"/>
  </r>
  <r>
    <x v="2"/>
    <x v="6"/>
    <n v="14.4"/>
  </r>
  <r>
    <x v="2"/>
    <x v="6"/>
    <n v="14.4"/>
  </r>
  <r>
    <x v="3"/>
    <x v="7"/>
    <n v="8"/>
  </r>
  <r>
    <x v="3"/>
    <x v="1"/>
    <n v="8"/>
  </r>
  <r>
    <x v="3"/>
    <x v="7"/>
    <n v="8"/>
  </r>
  <r>
    <x v="3"/>
    <x v="1"/>
    <n v="8"/>
  </r>
  <r>
    <x v="3"/>
    <x v="7"/>
    <n v="8"/>
  </r>
  <r>
    <x v="3"/>
    <x v="1"/>
    <n v="8"/>
  </r>
  <r>
    <x v="3"/>
    <x v="7"/>
    <n v="8"/>
  </r>
  <r>
    <x v="3"/>
    <x v="7"/>
    <n v="8"/>
  </r>
  <r>
    <x v="4"/>
    <x v="8"/>
    <n v="16"/>
  </r>
  <r>
    <x v="4"/>
    <x v="8"/>
    <n v="16"/>
  </r>
  <r>
    <x v="4"/>
    <x v="5"/>
    <n v="8"/>
  </r>
  <r>
    <x v="4"/>
    <x v="9"/>
    <n v="8"/>
  </r>
  <r>
    <x v="4"/>
    <x v="7"/>
    <n v="8"/>
  </r>
  <r>
    <x v="4"/>
    <x v="1"/>
    <n v="8"/>
  </r>
  <r>
    <x v="4"/>
    <x v="2"/>
    <n v="8"/>
  </r>
  <r>
    <x v="4"/>
    <x v="6"/>
    <n v="8"/>
  </r>
  <r>
    <x v="4"/>
    <x v="4"/>
    <n v="8"/>
  </r>
  <r>
    <x v="4"/>
    <x v="8"/>
    <n v="16"/>
  </r>
  <r>
    <x v="4"/>
    <x v="5"/>
    <n v="8"/>
  </r>
  <r>
    <x v="4"/>
    <x v="9"/>
    <n v="8"/>
  </r>
  <r>
    <x v="4"/>
    <x v="10"/>
    <n v="8"/>
  </r>
  <r>
    <x v="4"/>
    <x v="7"/>
    <n v="8"/>
  </r>
  <r>
    <x v="4"/>
    <x v="1"/>
    <n v="8"/>
  </r>
  <r>
    <x v="4"/>
    <x v="2"/>
    <n v="8"/>
  </r>
  <r>
    <x v="4"/>
    <x v="6"/>
    <n v="8"/>
  </r>
  <r>
    <x v="4"/>
    <x v="4"/>
    <n v="8"/>
  </r>
  <r>
    <x v="4"/>
    <x v="8"/>
    <n v="16"/>
  </r>
  <r>
    <x v="4"/>
    <x v="5"/>
    <n v="8"/>
  </r>
  <r>
    <x v="4"/>
    <x v="9"/>
    <n v="8"/>
  </r>
  <r>
    <x v="4"/>
    <x v="10"/>
    <n v="16"/>
  </r>
  <r>
    <x v="4"/>
    <x v="7"/>
    <n v="8"/>
  </r>
  <r>
    <x v="4"/>
    <x v="1"/>
    <n v="8"/>
  </r>
  <r>
    <x v="4"/>
    <x v="2"/>
    <n v="8"/>
  </r>
  <r>
    <x v="4"/>
    <x v="6"/>
    <n v="8"/>
  </r>
  <r>
    <x v="4"/>
    <x v="4"/>
    <n v="8"/>
  </r>
  <r>
    <x v="4"/>
    <x v="8"/>
    <n v="16"/>
  </r>
  <r>
    <x v="4"/>
    <x v="5"/>
    <n v="8"/>
  </r>
  <r>
    <x v="4"/>
    <x v="9"/>
    <n v="8"/>
  </r>
  <r>
    <x v="4"/>
    <x v="10"/>
    <n v="16"/>
  </r>
  <r>
    <x v="4"/>
    <x v="7"/>
    <n v="8"/>
  </r>
  <r>
    <x v="4"/>
    <x v="1"/>
    <n v="8"/>
  </r>
  <r>
    <x v="4"/>
    <x v="2"/>
    <n v="8"/>
  </r>
  <r>
    <x v="4"/>
    <x v="6"/>
    <n v="8"/>
  </r>
  <r>
    <x v="4"/>
    <x v="4"/>
    <n v="8"/>
  </r>
  <r>
    <x v="4"/>
    <x v="5"/>
    <n v="8"/>
  </r>
  <r>
    <x v="4"/>
    <x v="9"/>
    <n v="8"/>
  </r>
  <r>
    <x v="4"/>
    <x v="10"/>
    <n v="16"/>
  </r>
  <r>
    <x v="4"/>
    <x v="7"/>
    <n v="8"/>
  </r>
  <r>
    <x v="4"/>
    <x v="1"/>
    <n v="8"/>
  </r>
  <r>
    <x v="4"/>
    <x v="6"/>
    <n v="8"/>
  </r>
  <r>
    <x v="5"/>
    <x v="8"/>
    <n v="16"/>
  </r>
  <r>
    <x v="5"/>
    <x v="9"/>
    <n v="8"/>
  </r>
  <r>
    <x v="5"/>
    <x v="8"/>
    <n v="16"/>
  </r>
  <r>
    <x v="5"/>
    <x v="5"/>
    <n v="8"/>
  </r>
  <r>
    <x v="5"/>
    <x v="9"/>
    <n v="8"/>
  </r>
  <r>
    <x v="5"/>
    <x v="7"/>
    <n v="8"/>
  </r>
  <r>
    <x v="5"/>
    <x v="1"/>
    <n v="8"/>
  </r>
  <r>
    <x v="5"/>
    <x v="2"/>
    <n v="8"/>
  </r>
  <r>
    <x v="5"/>
    <x v="6"/>
    <n v="8"/>
  </r>
  <r>
    <x v="5"/>
    <x v="4"/>
    <n v="8"/>
  </r>
  <r>
    <x v="5"/>
    <x v="8"/>
    <n v="16"/>
  </r>
  <r>
    <x v="5"/>
    <x v="5"/>
    <n v="8"/>
  </r>
  <r>
    <x v="5"/>
    <x v="9"/>
    <n v="8"/>
  </r>
  <r>
    <x v="5"/>
    <x v="10"/>
    <n v="8"/>
  </r>
  <r>
    <x v="5"/>
    <x v="7"/>
    <n v="8"/>
  </r>
  <r>
    <x v="5"/>
    <x v="1"/>
    <n v="8"/>
  </r>
  <r>
    <x v="5"/>
    <x v="2"/>
    <n v="8"/>
  </r>
  <r>
    <x v="5"/>
    <x v="6"/>
    <n v="8"/>
  </r>
  <r>
    <x v="5"/>
    <x v="4"/>
    <n v="8"/>
  </r>
  <r>
    <x v="5"/>
    <x v="8"/>
    <n v="16"/>
  </r>
  <r>
    <x v="5"/>
    <x v="5"/>
    <n v="8"/>
  </r>
  <r>
    <x v="5"/>
    <x v="9"/>
    <n v="8"/>
  </r>
  <r>
    <x v="5"/>
    <x v="10"/>
    <n v="16"/>
  </r>
  <r>
    <x v="5"/>
    <x v="7"/>
    <n v="8"/>
  </r>
  <r>
    <x v="5"/>
    <x v="1"/>
    <n v="8"/>
  </r>
  <r>
    <x v="5"/>
    <x v="2"/>
    <n v="8"/>
  </r>
  <r>
    <x v="5"/>
    <x v="6"/>
    <n v="8"/>
  </r>
  <r>
    <x v="5"/>
    <x v="4"/>
    <n v="8"/>
  </r>
  <r>
    <x v="5"/>
    <x v="8"/>
    <n v="16"/>
  </r>
  <r>
    <x v="5"/>
    <x v="5"/>
    <n v="8"/>
  </r>
  <r>
    <x v="5"/>
    <x v="9"/>
    <n v="8"/>
  </r>
  <r>
    <x v="5"/>
    <x v="10"/>
    <n v="16"/>
  </r>
  <r>
    <x v="5"/>
    <x v="7"/>
    <n v="8"/>
  </r>
  <r>
    <x v="5"/>
    <x v="1"/>
    <n v="8"/>
  </r>
  <r>
    <x v="5"/>
    <x v="6"/>
    <n v="8"/>
  </r>
  <r>
    <x v="5"/>
    <x v="5"/>
    <n v="8"/>
  </r>
  <r>
    <x v="5"/>
    <x v="10"/>
    <n v="16"/>
  </r>
  <r>
    <x v="5"/>
    <x v="7"/>
    <n v="8"/>
  </r>
  <r>
    <x v="5"/>
    <x v="1"/>
    <n v="8"/>
  </r>
  <r>
    <x v="5"/>
    <x v="6"/>
    <n v="8"/>
  </r>
  <r>
    <x v="6"/>
    <x v="8"/>
    <n v="16"/>
  </r>
  <r>
    <x v="6"/>
    <x v="9"/>
    <n v="8"/>
  </r>
  <r>
    <x v="6"/>
    <x v="8"/>
    <n v="16"/>
  </r>
  <r>
    <x v="6"/>
    <x v="5"/>
    <n v="8"/>
  </r>
  <r>
    <x v="6"/>
    <x v="9"/>
    <n v="8"/>
  </r>
  <r>
    <x v="6"/>
    <x v="7"/>
    <n v="8"/>
  </r>
  <r>
    <x v="6"/>
    <x v="1"/>
    <n v="8"/>
  </r>
  <r>
    <x v="6"/>
    <x v="2"/>
    <n v="8"/>
  </r>
  <r>
    <x v="6"/>
    <x v="6"/>
    <n v="8"/>
  </r>
  <r>
    <x v="6"/>
    <x v="4"/>
    <n v="8"/>
  </r>
  <r>
    <x v="6"/>
    <x v="8"/>
    <n v="16"/>
  </r>
  <r>
    <x v="6"/>
    <x v="5"/>
    <n v="8"/>
  </r>
  <r>
    <x v="6"/>
    <x v="9"/>
    <n v="8"/>
  </r>
  <r>
    <x v="6"/>
    <x v="10"/>
    <n v="8"/>
  </r>
  <r>
    <x v="6"/>
    <x v="7"/>
    <n v="8"/>
  </r>
  <r>
    <x v="6"/>
    <x v="1"/>
    <n v="8"/>
  </r>
  <r>
    <x v="6"/>
    <x v="2"/>
    <n v="8"/>
  </r>
  <r>
    <x v="6"/>
    <x v="6"/>
    <n v="8"/>
  </r>
  <r>
    <x v="6"/>
    <x v="4"/>
    <n v="8"/>
  </r>
  <r>
    <x v="6"/>
    <x v="8"/>
    <n v="16"/>
  </r>
  <r>
    <x v="6"/>
    <x v="5"/>
    <n v="8"/>
  </r>
  <r>
    <x v="6"/>
    <x v="9"/>
    <n v="8"/>
  </r>
  <r>
    <x v="6"/>
    <x v="10"/>
    <n v="16"/>
  </r>
  <r>
    <x v="6"/>
    <x v="7"/>
    <n v="8"/>
  </r>
  <r>
    <x v="6"/>
    <x v="1"/>
    <n v="8"/>
  </r>
  <r>
    <x v="6"/>
    <x v="2"/>
    <n v="8"/>
  </r>
  <r>
    <x v="6"/>
    <x v="6"/>
    <n v="8"/>
  </r>
  <r>
    <x v="6"/>
    <x v="4"/>
    <n v="8"/>
  </r>
  <r>
    <x v="6"/>
    <x v="8"/>
    <n v="16"/>
  </r>
  <r>
    <x v="6"/>
    <x v="5"/>
    <n v="8"/>
  </r>
  <r>
    <x v="6"/>
    <x v="9"/>
    <n v="8"/>
  </r>
  <r>
    <x v="6"/>
    <x v="10"/>
    <n v="16"/>
  </r>
  <r>
    <x v="6"/>
    <x v="7"/>
    <n v="8"/>
  </r>
  <r>
    <x v="6"/>
    <x v="1"/>
    <n v="8"/>
  </r>
  <r>
    <x v="6"/>
    <x v="6"/>
    <n v="8"/>
  </r>
  <r>
    <x v="6"/>
    <x v="5"/>
    <n v="8"/>
  </r>
  <r>
    <x v="6"/>
    <x v="10"/>
    <n v="16"/>
  </r>
  <r>
    <x v="6"/>
    <x v="7"/>
    <n v="8"/>
  </r>
  <r>
    <x v="6"/>
    <x v="1"/>
    <n v="8"/>
  </r>
  <r>
    <x v="6"/>
    <x v="6"/>
    <n v="8"/>
  </r>
  <r>
    <x v="7"/>
    <x v="8"/>
    <n v="16"/>
  </r>
  <r>
    <x v="7"/>
    <x v="9"/>
    <n v="8"/>
  </r>
  <r>
    <x v="7"/>
    <x v="8"/>
    <n v="16"/>
  </r>
  <r>
    <x v="7"/>
    <x v="5"/>
    <n v="8"/>
  </r>
  <r>
    <x v="7"/>
    <x v="9"/>
    <n v="8"/>
  </r>
  <r>
    <x v="7"/>
    <x v="7"/>
    <n v="8"/>
  </r>
  <r>
    <x v="7"/>
    <x v="1"/>
    <n v="8"/>
  </r>
  <r>
    <x v="7"/>
    <x v="2"/>
    <n v="8"/>
  </r>
  <r>
    <x v="7"/>
    <x v="6"/>
    <n v="8"/>
  </r>
  <r>
    <x v="7"/>
    <x v="4"/>
    <n v="8"/>
  </r>
  <r>
    <x v="7"/>
    <x v="8"/>
    <n v="16"/>
  </r>
  <r>
    <x v="7"/>
    <x v="5"/>
    <n v="8"/>
  </r>
  <r>
    <x v="7"/>
    <x v="9"/>
    <n v="8"/>
  </r>
  <r>
    <x v="7"/>
    <x v="10"/>
    <n v="8"/>
  </r>
  <r>
    <x v="7"/>
    <x v="7"/>
    <n v="8"/>
  </r>
  <r>
    <x v="7"/>
    <x v="1"/>
    <n v="8"/>
  </r>
  <r>
    <x v="7"/>
    <x v="2"/>
    <n v="8"/>
  </r>
  <r>
    <x v="7"/>
    <x v="6"/>
    <n v="8"/>
  </r>
  <r>
    <x v="7"/>
    <x v="4"/>
    <n v="8"/>
  </r>
  <r>
    <x v="7"/>
    <x v="8"/>
    <n v="16"/>
  </r>
  <r>
    <x v="7"/>
    <x v="5"/>
    <n v="8"/>
  </r>
  <r>
    <x v="7"/>
    <x v="9"/>
    <n v="8"/>
  </r>
  <r>
    <x v="7"/>
    <x v="10"/>
    <n v="16"/>
  </r>
  <r>
    <x v="7"/>
    <x v="7"/>
    <n v="8"/>
  </r>
  <r>
    <x v="7"/>
    <x v="1"/>
    <n v="8"/>
  </r>
  <r>
    <x v="7"/>
    <x v="2"/>
    <n v="8"/>
  </r>
  <r>
    <x v="7"/>
    <x v="6"/>
    <n v="8"/>
  </r>
  <r>
    <x v="7"/>
    <x v="4"/>
    <n v="8"/>
  </r>
  <r>
    <x v="7"/>
    <x v="8"/>
    <n v="16"/>
  </r>
  <r>
    <x v="7"/>
    <x v="5"/>
    <n v="8"/>
  </r>
  <r>
    <x v="7"/>
    <x v="9"/>
    <n v="8"/>
  </r>
  <r>
    <x v="7"/>
    <x v="10"/>
    <n v="16"/>
  </r>
  <r>
    <x v="7"/>
    <x v="7"/>
    <n v="8"/>
  </r>
  <r>
    <x v="7"/>
    <x v="1"/>
    <n v="8"/>
  </r>
  <r>
    <x v="7"/>
    <x v="6"/>
    <n v="8"/>
  </r>
  <r>
    <x v="7"/>
    <x v="5"/>
    <n v="8"/>
  </r>
  <r>
    <x v="7"/>
    <x v="10"/>
    <n v="16"/>
  </r>
  <r>
    <x v="7"/>
    <x v="7"/>
    <n v="8"/>
  </r>
  <r>
    <x v="7"/>
    <x v="1"/>
    <n v="8"/>
  </r>
  <r>
    <x v="7"/>
    <x v="6"/>
    <n v="8"/>
  </r>
  <r>
    <x v="8"/>
    <x v="11"/>
    <n v="8"/>
  </r>
  <r>
    <x v="8"/>
    <x v="7"/>
    <n v="8"/>
  </r>
  <r>
    <x v="8"/>
    <x v="2"/>
    <n v="8"/>
  </r>
  <r>
    <x v="8"/>
    <x v="6"/>
    <n v="8"/>
  </r>
  <r>
    <x v="8"/>
    <x v="7"/>
    <n v="8"/>
  </r>
  <r>
    <x v="8"/>
    <x v="2"/>
    <n v="8"/>
  </r>
  <r>
    <x v="8"/>
    <x v="2"/>
    <n v="4"/>
  </r>
  <r>
    <x v="8"/>
    <x v="11"/>
    <n v="8"/>
  </r>
  <r>
    <x v="8"/>
    <x v="11"/>
    <n v="8"/>
  </r>
  <r>
    <x v="8"/>
    <x v="5"/>
    <n v="8"/>
  </r>
  <r>
    <x v="9"/>
    <x v="12"/>
    <n v="8"/>
  </r>
  <r>
    <x v="9"/>
    <x v="11"/>
    <n v="16"/>
  </r>
  <r>
    <x v="9"/>
    <x v="13"/>
    <n v="8"/>
  </r>
  <r>
    <x v="9"/>
    <x v="12"/>
    <n v="8"/>
  </r>
  <r>
    <x v="9"/>
    <x v="11"/>
    <n v="16"/>
  </r>
  <r>
    <x v="9"/>
    <x v="5"/>
    <n v="8"/>
  </r>
  <r>
    <x v="9"/>
    <x v="7"/>
    <n v="8"/>
  </r>
  <r>
    <x v="9"/>
    <x v="1"/>
    <n v="8"/>
  </r>
  <r>
    <x v="9"/>
    <x v="13"/>
    <n v="8"/>
  </r>
  <r>
    <x v="9"/>
    <x v="2"/>
    <n v="8"/>
  </r>
  <r>
    <x v="9"/>
    <x v="12"/>
    <n v="8"/>
  </r>
  <r>
    <x v="9"/>
    <x v="11"/>
    <n v="16"/>
  </r>
  <r>
    <x v="9"/>
    <x v="7"/>
    <n v="8"/>
  </r>
  <r>
    <x v="9"/>
    <x v="13"/>
    <n v="8"/>
  </r>
  <r>
    <x v="9"/>
    <x v="2"/>
    <n v="8"/>
  </r>
  <r>
    <x v="9"/>
    <x v="12"/>
    <n v="8"/>
  </r>
  <r>
    <x v="9"/>
    <x v="11"/>
    <n v="16"/>
  </r>
  <r>
    <x v="9"/>
    <x v="7"/>
    <n v="8"/>
  </r>
  <r>
    <x v="9"/>
    <x v="13"/>
    <n v="8"/>
  </r>
  <r>
    <x v="9"/>
    <x v="2"/>
    <n v="8"/>
  </r>
  <r>
    <x v="9"/>
    <x v="6"/>
    <n v="8"/>
  </r>
  <r>
    <x v="9"/>
    <x v="12"/>
    <n v="8"/>
  </r>
  <r>
    <x v="9"/>
    <x v="11"/>
    <n v="16"/>
  </r>
  <r>
    <x v="9"/>
    <x v="7"/>
    <n v="6"/>
  </r>
  <r>
    <x v="9"/>
    <x v="13"/>
    <n v="8"/>
  </r>
  <r>
    <x v="9"/>
    <x v="2"/>
    <n v="8"/>
  </r>
  <r>
    <x v="10"/>
    <x v="12"/>
    <n v="8"/>
  </r>
  <r>
    <x v="10"/>
    <x v="11"/>
    <n v="16"/>
  </r>
  <r>
    <x v="10"/>
    <x v="13"/>
    <n v="8"/>
  </r>
  <r>
    <x v="10"/>
    <x v="12"/>
    <n v="8"/>
  </r>
  <r>
    <x v="10"/>
    <x v="11"/>
    <n v="16"/>
  </r>
  <r>
    <x v="10"/>
    <x v="5"/>
    <n v="8"/>
  </r>
  <r>
    <x v="10"/>
    <x v="7"/>
    <n v="8"/>
  </r>
  <r>
    <x v="10"/>
    <x v="13"/>
    <n v="8"/>
  </r>
  <r>
    <x v="10"/>
    <x v="2"/>
    <n v="8"/>
  </r>
  <r>
    <x v="10"/>
    <x v="12"/>
    <n v="8"/>
  </r>
  <r>
    <x v="10"/>
    <x v="11"/>
    <n v="16"/>
  </r>
  <r>
    <x v="10"/>
    <x v="5"/>
    <n v="8"/>
  </r>
  <r>
    <x v="10"/>
    <x v="7"/>
    <n v="8"/>
  </r>
  <r>
    <x v="10"/>
    <x v="13"/>
    <n v="8"/>
  </r>
  <r>
    <x v="10"/>
    <x v="2"/>
    <n v="8"/>
  </r>
  <r>
    <x v="10"/>
    <x v="12"/>
    <n v="8"/>
  </r>
  <r>
    <x v="10"/>
    <x v="11"/>
    <n v="16"/>
  </r>
  <r>
    <x v="10"/>
    <x v="7"/>
    <n v="8"/>
  </r>
  <r>
    <x v="10"/>
    <x v="1"/>
    <n v="8"/>
  </r>
  <r>
    <x v="10"/>
    <x v="13"/>
    <n v="8"/>
  </r>
  <r>
    <x v="10"/>
    <x v="6"/>
    <n v="8"/>
  </r>
  <r>
    <x v="10"/>
    <x v="12"/>
    <n v="8"/>
  </r>
  <r>
    <x v="10"/>
    <x v="11"/>
    <n v="16"/>
  </r>
  <r>
    <x v="10"/>
    <x v="7"/>
    <n v="6"/>
  </r>
  <r>
    <x v="10"/>
    <x v="13"/>
    <n v="8"/>
  </r>
  <r>
    <x v="10"/>
    <x v="6"/>
    <n v="8"/>
  </r>
  <r>
    <x v="11"/>
    <x v="12"/>
    <n v="8"/>
  </r>
  <r>
    <x v="11"/>
    <x v="13"/>
    <n v="8"/>
  </r>
  <r>
    <x v="11"/>
    <x v="12"/>
    <n v="8"/>
  </r>
  <r>
    <x v="11"/>
    <x v="11"/>
    <n v="16"/>
  </r>
  <r>
    <x v="11"/>
    <x v="5"/>
    <n v="8"/>
  </r>
  <r>
    <x v="11"/>
    <x v="7"/>
    <n v="8"/>
  </r>
  <r>
    <x v="11"/>
    <x v="1"/>
    <n v="8"/>
  </r>
  <r>
    <x v="11"/>
    <x v="13"/>
    <n v="8"/>
  </r>
  <r>
    <x v="11"/>
    <x v="2"/>
    <n v="8"/>
  </r>
  <r>
    <x v="11"/>
    <x v="12"/>
    <n v="8"/>
  </r>
  <r>
    <x v="11"/>
    <x v="11"/>
    <n v="16"/>
  </r>
  <r>
    <x v="11"/>
    <x v="5"/>
    <n v="8"/>
  </r>
  <r>
    <x v="11"/>
    <x v="7"/>
    <n v="8"/>
  </r>
  <r>
    <x v="11"/>
    <x v="1"/>
    <n v="8"/>
  </r>
  <r>
    <x v="11"/>
    <x v="13"/>
    <n v="8"/>
  </r>
  <r>
    <x v="11"/>
    <x v="2"/>
    <n v="8"/>
  </r>
  <r>
    <x v="11"/>
    <x v="14"/>
    <n v="8"/>
  </r>
  <r>
    <x v="11"/>
    <x v="12"/>
    <n v="8"/>
  </r>
  <r>
    <x v="11"/>
    <x v="11"/>
    <n v="16"/>
  </r>
  <r>
    <x v="11"/>
    <x v="7"/>
    <n v="8"/>
  </r>
  <r>
    <x v="11"/>
    <x v="13"/>
    <n v="8"/>
  </r>
  <r>
    <x v="11"/>
    <x v="6"/>
    <n v="8"/>
  </r>
  <r>
    <x v="11"/>
    <x v="14"/>
    <n v="8"/>
  </r>
  <r>
    <x v="11"/>
    <x v="12"/>
    <n v="8"/>
  </r>
  <r>
    <x v="11"/>
    <x v="11"/>
    <n v="16"/>
  </r>
  <r>
    <x v="11"/>
    <x v="7"/>
    <n v="8"/>
  </r>
  <r>
    <x v="11"/>
    <x v="13"/>
    <n v="8"/>
  </r>
  <r>
    <x v="11"/>
    <x v="6"/>
    <n v="8"/>
  </r>
  <r>
    <x v="11"/>
    <x v="14"/>
    <n v="8"/>
  </r>
  <r>
    <x v="11"/>
    <x v="11"/>
    <n v="16"/>
  </r>
  <r>
    <x v="11"/>
    <x v="7"/>
    <n v="8"/>
  </r>
  <r>
    <x v="12"/>
    <x v="12"/>
    <n v="8"/>
  </r>
  <r>
    <x v="12"/>
    <x v="13"/>
    <n v="8"/>
  </r>
  <r>
    <x v="12"/>
    <x v="15"/>
    <n v="8"/>
  </r>
  <r>
    <x v="12"/>
    <x v="14"/>
    <n v="8"/>
  </r>
  <r>
    <x v="12"/>
    <x v="12"/>
    <n v="8"/>
  </r>
  <r>
    <x v="12"/>
    <x v="11"/>
    <n v="16"/>
  </r>
  <r>
    <x v="12"/>
    <x v="5"/>
    <n v="8"/>
  </r>
  <r>
    <x v="12"/>
    <x v="7"/>
    <n v="8"/>
  </r>
  <r>
    <x v="12"/>
    <x v="1"/>
    <n v="8"/>
  </r>
  <r>
    <x v="12"/>
    <x v="13"/>
    <n v="8"/>
  </r>
  <r>
    <x v="12"/>
    <x v="2"/>
    <n v="8"/>
  </r>
  <r>
    <x v="12"/>
    <x v="15"/>
    <n v="8"/>
  </r>
  <r>
    <x v="12"/>
    <x v="14"/>
    <n v="8"/>
  </r>
  <r>
    <x v="12"/>
    <x v="12"/>
    <n v="8"/>
  </r>
  <r>
    <x v="12"/>
    <x v="11"/>
    <n v="16"/>
  </r>
  <r>
    <x v="12"/>
    <x v="5"/>
    <n v="8"/>
  </r>
  <r>
    <x v="12"/>
    <x v="7"/>
    <n v="8"/>
  </r>
  <r>
    <x v="12"/>
    <x v="1"/>
    <n v="8"/>
  </r>
  <r>
    <x v="12"/>
    <x v="13"/>
    <n v="8"/>
  </r>
  <r>
    <x v="12"/>
    <x v="15"/>
    <n v="8"/>
  </r>
  <r>
    <x v="12"/>
    <x v="12"/>
    <n v="8"/>
  </r>
  <r>
    <x v="12"/>
    <x v="11"/>
    <n v="16"/>
  </r>
  <r>
    <x v="12"/>
    <x v="7"/>
    <n v="8"/>
  </r>
  <r>
    <x v="12"/>
    <x v="13"/>
    <n v="8"/>
  </r>
  <r>
    <x v="12"/>
    <x v="15"/>
    <n v="8"/>
  </r>
  <r>
    <x v="12"/>
    <x v="14"/>
    <n v="8"/>
  </r>
  <r>
    <x v="12"/>
    <x v="12"/>
    <n v="8"/>
  </r>
  <r>
    <x v="12"/>
    <x v="11"/>
    <n v="16"/>
  </r>
  <r>
    <x v="12"/>
    <x v="7"/>
    <n v="8"/>
  </r>
  <r>
    <x v="12"/>
    <x v="13"/>
    <n v="8"/>
  </r>
  <r>
    <x v="12"/>
    <x v="2"/>
    <n v="8"/>
  </r>
  <r>
    <x v="12"/>
    <x v="6"/>
    <n v="8"/>
  </r>
  <r>
    <x v="12"/>
    <x v="15"/>
    <n v="8"/>
  </r>
  <r>
    <x v="12"/>
    <x v="14"/>
    <n v="8"/>
  </r>
  <r>
    <x v="12"/>
    <x v="11"/>
    <n v="16"/>
  </r>
  <r>
    <x v="12"/>
    <x v="7"/>
    <n v="8"/>
  </r>
  <r>
    <x v="12"/>
    <x v="6"/>
    <n v="8"/>
  </r>
  <r>
    <x v="13"/>
    <x v="15"/>
    <n v="8"/>
  </r>
  <r>
    <x v="13"/>
    <x v="14"/>
    <n v="8"/>
  </r>
  <r>
    <x v="13"/>
    <x v="5"/>
    <n v="8"/>
  </r>
  <r>
    <x v="13"/>
    <x v="7"/>
    <n v="8"/>
  </r>
  <r>
    <x v="13"/>
    <x v="1"/>
    <n v="8"/>
  </r>
  <r>
    <x v="13"/>
    <x v="2"/>
    <n v="8"/>
  </r>
  <r>
    <x v="13"/>
    <x v="15"/>
    <n v="8"/>
  </r>
  <r>
    <x v="13"/>
    <x v="4"/>
    <n v="4"/>
  </r>
  <r>
    <x v="13"/>
    <x v="14"/>
    <n v="8"/>
  </r>
  <r>
    <x v="13"/>
    <x v="5"/>
    <n v="8"/>
  </r>
  <r>
    <x v="13"/>
    <x v="7"/>
    <n v="8"/>
  </r>
  <r>
    <x v="13"/>
    <x v="1"/>
    <n v="8"/>
  </r>
  <r>
    <x v="13"/>
    <x v="2"/>
    <n v="8"/>
  </r>
  <r>
    <x v="13"/>
    <x v="15"/>
    <n v="8"/>
  </r>
  <r>
    <x v="13"/>
    <x v="7"/>
    <n v="8"/>
  </r>
  <r>
    <x v="13"/>
    <x v="15"/>
    <n v="8"/>
  </r>
  <r>
    <x v="13"/>
    <x v="14"/>
    <n v="8"/>
  </r>
  <r>
    <x v="13"/>
    <x v="7"/>
    <n v="8"/>
  </r>
  <r>
    <x v="13"/>
    <x v="6"/>
    <n v="8"/>
  </r>
  <r>
    <x v="13"/>
    <x v="15"/>
    <n v="8"/>
  </r>
  <r>
    <x v="13"/>
    <x v="14"/>
    <n v="8"/>
  </r>
  <r>
    <x v="13"/>
    <x v="7"/>
    <n v="8"/>
  </r>
  <r>
    <x v="13"/>
    <x v="6"/>
    <n v="8"/>
  </r>
  <r>
    <x v="14"/>
    <x v="14"/>
    <n v="8"/>
  </r>
  <r>
    <x v="14"/>
    <x v="5"/>
    <n v="8"/>
  </r>
  <r>
    <x v="14"/>
    <x v="7"/>
    <n v="8"/>
  </r>
  <r>
    <x v="14"/>
    <x v="1"/>
    <n v="8"/>
  </r>
  <r>
    <x v="14"/>
    <x v="2"/>
    <n v="8"/>
  </r>
  <r>
    <x v="14"/>
    <x v="4"/>
    <n v="4"/>
  </r>
  <r>
    <x v="14"/>
    <x v="14"/>
    <n v="8"/>
  </r>
  <r>
    <x v="14"/>
    <x v="5"/>
    <n v="8"/>
  </r>
  <r>
    <x v="14"/>
    <x v="7"/>
    <n v="8"/>
  </r>
  <r>
    <x v="14"/>
    <x v="1"/>
    <n v="8"/>
  </r>
  <r>
    <x v="14"/>
    <x v="2"/>
    <n v="8"/>
  </r>
  <r>
    <x v="14"/>
    <x v="14"/>
    <n v="8"/>
  </r>
  <r>
    <x v="14"/>
    <x v="5"/>
    <n v="8"/>
  </r>
  <r>
    <x v="14"/>
    <x v="7"/>
    <n v="8"/>
  </r>
  <r>
    <x v="14"/>
    <x v="14"/>
    <n v="8"/>
  </r>
  <r>
    <x v="14"/>
    <x v="7"/>
    <n v="8"/>
  </r>
  <r>
    <x v="14"/>
    <x v="6"/>
    <n v="8"/>
  </r>
  <r>
    <x v="14"/>
    <x v="14"/>
    <n v="8"/>
  </r>
  <r>
    <x v="14"/>
    <x v="7"/>
    <n v="8"/>
  </r>
  <r>
    <x v="14"/>
    <x v="6"/>
    <n v="16"/>
  </r>
  <r>
    <x v="15"/>
    <x v="14"/>
    <n v="8"/>
  </r>
  <r>
    <x v="15"/>
    <x v="5"/>
    <n v="8"/>
  </r>
  <r>
    <x v="15"/>
    <x v="1"/>
    <n v="8"/>
  </r>
  <r>
    <x v="15"/>
    <x v="2"/>
    <n v="8"/>
  </r>
  <r>
    <x v="15"/>
    <x v="4"/>
    <n v="4"/>
  </r>
  <r>
    <x v="15"/>
    <x v="14"/>
    <n v="8"/>
  </r>
  <r>
    <x v="15"/>
    <x v="5"/>
    <n v="8"/>
  </r>
  <r>
    <x v="15"/>
    <x v="7"/>
    <n v="6"/>
  </r>
  <r>
    <x v="15"/>
    <x v="1"/>
    <n v="8"/>
  </r>
  <r>
    <x v="15"/>
    <x v="14"/>
    <n v="8"/>
  </r>
  <r>
    <x v="15"/>
    <x v="5"/>
    <n v="8"/>
  </r>
  <r>
    <x v="15"/>
    <x v="7"/>
    <n v="8"/>
  </r>
  <r>
    <x v="15"/>
    <x v="6"/>
    <n v="8"/>
  </r>
  <r>
    <x v="15"/>
    <x v="14"/>
    <n v="8"/>
  </r>
  <r>
    <x v="15"/>
    <x v="7"/>
    <n v="8"/>
  </r>
  <r>
    <x v="15"/>
    <x v="6"/>
    <n v="8"/>
  </r>
  <r>
    <x v="15"/>
    <x v="14"/>
    <n v="8"/>
  </r>
  <r>
    <x v="15"/>
    <x v="7"/>
    <n v="8"/>
  </r>
  <r>
    <x v="15"/>
    <x v="2"/>
    <n v="8"/>
  </r>
  <r>
    <x v="15"/>
    <x v="6"/>
    <n v="8"/>
  </r>
  <r>
    <x v="16"/>
    <x v="14"/>
    <n v="8"/>
  </r>
  <r>
    <x v="16"/>
    <x v="5"/>
    <n v="8"/>
  </r>
  <r>
    <x v="16"/>
    <x v="1"/>
    <n v="8"/>
  </r>
  <r>
    <x v="16"/>
    <x v="2"/>
    <n v="8"/>
  </r>
  <r>
    <x v="16"/>
    <x v="4"/>
    <n v="4"/>
  </r>
  <r>
    <x v="16"/>
    <x v="14"/>
    <n v="8"/>
  </r>
  <r>
    <x v="16"/>
    <x v="5"/>
    <n v="8"/>
  </r>
  <r>
    <x v="16"/>
    <x v="7"/>
    <n v="6"/>
  </r>
  <r>
    <x v="16"/>
    <x v="1"/>
    <n v="8"/>
  </r>
  <r>
    <x v="16"/>
    <x v="2"/>
    <n v="8"/>
  </r>
  <r>
    <x v="16"/>
    <x v="14"/>
    <n v="8"/>
  </r>
  <r>
    <x v="16"/>
    <x v="5"/>
    <n v="8"/>
  </r>
  <r>
    <x v="16"/>
    <x v="7"/>
    <n v="8"/>
  </r>
  <r>
    <x v="16"/>
    <x v="6"/>
    <n v="8"/>
  </r>
  <r>
    <x v="16"/>
    <x v="14"/>
    <n v="8"/>
  </r>
  <r>
    <x v="16"/>
    <x v="7"/>
    <n v="8"/>
  </r>
  <r>
    <x v="16"/>
    <x v="6"/>
    <n v="8"/>
  </r>
  <r>
    <x v="16"/>
    <x v="14"/>
    <n v="8"/>
  </r>
  <r>
    <x v="16"/>
    <x v="7"/>
    <n v="8"/>
  </r>
  <r>
    <x v="16"/>
    <x v="6"/>
    <n v="8"/>
  </r>
  <r>
    <x v="17"/>
    <x v="14"/>
    <n v="8"/>
  </r>
  <r>
    <x v="17"/>
    <x v="1"/>
    <n v="8"/>
  </r>
  <r>
    <x v="17"/>
    <x v="6"/>
    <n v="8"/>
  </r>
  <r>
    <x v="17"/>
    <x v="14"/>
    <n v="8"/>
  </r>
  <r>
    <x v="17"/>
    <x v="1"/>
    <n v="8"/>
  </r>
  <r>
    <x v="17"/>
    <x v="6"/>
    <n v="8"/>
  </r>
  <r>
    <x v="17"/>
    <x v="14"/>
    <n v="8"/>
  </r>
  <r>
    <x v="17"/>
    <x v="7"/>
    <n v="8"/>
  </r>
  <r>
    <x v="17"/>
    <x v="1"/>
    <n v="8"/>
  </r>
  <r>
    <x v="17"/>
    <x v="6"/>
    <n v="8"/>
  </r>
  <r>
    <x v="17"/>
    <x v="14"/>
    <n v="8"/>
  </r>
  <r>
    <x v="17"/>
    <x v="7"/>
    <n v="8"/>
  </r>
  <r>
    <x v="17"/>
    <x v="2"/>
    <n v="8"/>
  </r>
  <r>
    <x v="17"/>
    <x v="14"/>
    <n v="8"/>
  </r>
  <r>
    <x v="17"/>
    <x v="7"/>
    <n v="8"/>
  </r>
  <r>
    <x v="17"/>
    <x v="2"/>
    <n v="8"/>
  </r>
  <r>
    <x v="18"/>
    <x v="14"/>
    <n v="8"/>
  </r>
  <r>
    <x v="18"/>
    <x v="5"/>
    <n v="8"/>
  </r>
  <r>
    <x v="18"/>
    <x v="6"/>
    <n v="8"/>
  </r>
  <r>
    <x v="18"/>
    <x v="14"/>
    <n v="8"/>
  </r>
  <r>
    <x v="18"/>
    <x v="5"/>
    <n v="8"/>
  </r>
  <r>
    <x v="18"/>
    <x v="7"/>
    <n v="4"/>
  </r>
  <r>
    <x v="18"/>
    <x v="6"/>
    <n v="8"/>
  </r>
  <r>
    <x v="18"/>
    <x v="14"/>
    <n v="8"/>
  </r>
  <r>
    <x v="18"/>
    <x v="5"/>
    <n v="8"/>
  </r>
  <r>
    <x v="18"/>
    <x v="7"/>
    <n v="8"/>
  </r>
  <r>
    <x v="18"/>
    <x v="6"/>
    <n v="8"/>
  </r>
  <r>
    <x v="18"/>
    <x v="14"/>
    <n v="8"/>
  </r>
  <r>
    <x v="18"/>
    <x v="5"/>
    <n v="8"/>
  </r>
  <r>
    <x v="18"/>
    <x v="7"/>
    <n v="8"/>
  </r>
  <r>
    <x v="18"/>
    <x v="2"/>
    <n v="8"/>
  </r>
  <r>
    <x v="18"/>
    <x v="14"/>
    <n v="8"/>
  </r>
  <r>
    <x v="18"/>
    <x v="5"/>
    <n v="8"/>
  </r>
  <r>
    <x v="18"/>
    <x v="7"/>
    <n v="8"/>
  </r>
  <r>
    <x v="18"/>
    <x v="2"/>
    <n v="8"/>
  </r>
  <r>
    <x v="19"/>
    <x v="14"/>
    <n v="8"/>
  </r>
  <r>
    <x v="19"/>
    <x v="5"/>
    <n v="8"/>
  </r>
  <r>
    <x v="19"/>
    <x v="6"/>
    <n v="8"/>
  </r>
  <r>
    <x v="19"/>
    <x v="14"/>
    <n v="8"/>
  </r>
  <r>
    <x v="19"/>
    <x v="5"/>
    <n v="8"/>
  </r>
  <r>
    <x v="19"/>
    <x v="7"/>
    <n v="4"/>
  </r>
  <r>
    <x v="19"/>
    <x v="6"/>
    <n v="8"/>
  </r>
  <r>
    <x v="19"/>
    <x v="14"/>
    <n v="8"/>
  </r>
  <r>
    <x v="19"/>
    <x v="5"/>
    <n v="8"/>
  </r>
  <r>
    <x v="19"/>
    <x v="7"/>
    <n v="8"/>
  </r>
  <r>
    <x v="19"/>
    <x v="6"/>
    <n v="8"/>
  </r>
  <r>
    <x v="19"/>
    <x v="14"/>
    <n v="8"/>
  </r>
  <r>
    <x v="19"/>
    <x v="7"/>
    <n v="8"/>
  </r>
  <r>
    <x v="19"/>
    <x v="2"/>
    <n v="8"/>
  </r>
  <r>
    <x v="19"/>
    <x v="14"/>
    <n v="8"/>
  </r>
  <r>
    <x v="19"/>
    <x v="7"/>
    <n v="8"/>
  </r>
  <r>
    <x v="19"/>
    <x v="2"/>
    <n v="8"/>
  </r>
  <r>
    <x v="20"/>
    <x v="16"/>
    <n v="4"/>
  </r>
  <r>
    <x v="20"/>
    <x v="14"/>
    <n v="8"/>
  </r>
  <r>
    <x v="20"/>
    <x v="16"/>
    <n v="6"/>
  </r>
  <r>
    <x v="20"/>
    <x v="5"/>
    <n v="8"/>
  </r>
  <r>
    <x v="20"/>
    <x v="1"/>
    <n v="8"/>
  </r>
  <r>
    <x v="20"/>
    <x v="6"/>
    <n v="8"/>
  </r>
  <r>
    <x v="20"/>
    <x v="14"/>
    <n v="8"/>
  </r>
  <r>
    <x v="20"/>
    <x v="16"/>
    <n v="4"/>
  </r>
  <r>
    <x v="20"/>
    <x v="5"/>
    <n v="8"/>
  </r>
  <r>
    <x v="20"/>
    <x v="17"/>
    <n v="8"/>
  </r>
  <r>
    <x v="20"/>
    <x v="7"/>
    <n v="4"/>
  </r>
  <r>
    <x v="20"/>
    <x v="1"/>
    <n v="8"/>
  </r>
  <r>
    <x v="20"/>
    <x v="6"/>
    <n v="8"/>
  </r>
  <r>
    <x v="20"/>
    <x v="14"/>
    <n v="8"/>
  </r>
  <r>
    <x v="20"/>
    <x v="16"/>
    <n v="5"/>
  </r>
  <r>
    <x v="20"/>
    <x v="5"/>
    <n v="8"/>
  </r>
  <r>
    <x v="20"/>
    <x v="17"/>
    <n v="8"/>
  </r>
  <r>
    <x v="20"/>
    <x v="7"/>
    <n v="8"/>
  </r>
  <r>
    <x v="20"/>
    <x v="1"/>
    <n v="8"/>
  </r>
  <r>
    <x v="20"/>
    <x v="6"/>
    <n v="8"/>
  </r>
  <r>
    <x v="20"/>
    <x v="16"/>
    <n v="5"/>
  </r>
  <r>
    <x v="20"/>
    <x v="17"/>
    <n v="8"/>
  </r>
  <r>
    <x v="20"/>
    <x v="7"/>
    <n v="8"/>
  </r>
  <r>
    <x v="20"/>
    <x v="1"/>
    <n v="8"/>
  </r>
  <r>
    <x v="20"/>
    <x v="2"/>
    <n v="8"/>
  </r>
  <r>
    <x v="20"/>
    <x v="14"/>
    <n v="8"/>
  </r>
  <r>
    <x v="20"/>
    <x v="7"/>
    <n v="8"/>
  </r>
  <r>
    <x v="20"/>
    <x v="1"/>
    <n v="8"/>
  </r>
  <r>
    <x v="20"/>
    <x v="2"/>
    <n v="8"/>
  </r>
  <r>
    <x v="21"/>
    <x v="16"/>
    <n v="4"/>
  </r>
  <r>
    <x v="21"/>
    <x v="14"/>
    <n v="8"/>
  </r>
  <r>
    <x v="21"/>
    <x v="16"/>
    <n v="2"/>
  </r>
  <r>
    <x v="21"/>
    <x v="5"/>
    <n v="8"/>
  </r>
  <r>
    <x v="21"/>
    <x v="7"/>
    <n v="8"/>
  </r>
  <r>
    <x v="21"/>
    <x v="1"/>
    <n v="8"/>
  </r>
  <r>
    <x v="21"/>
    <x v="16"/>
    <n v="2"/>
  </r>
  <r>
    <x v="21"/>
    <x v="5"/>
    <n v="8"/>
  </r>
  <r>
    <x v="21"/>
    <x v="7"/>
    <n v="8"/>
  </r>
  <r>
    <x v="21"/>
    <x v="1"/>
    <n v="8"/>
  </r>
  <r>
    <x v="21"/>
    <x v="5"/>
    <n v="8"/>
  </r>
  <r>
    <x v="21"/>
    <x v="7"/>
    <n v="8"/>
  </r>
  <r>
    <x v="21"/>
    <x v="1"/>
    <n v="8"/>
  </r>
  <r>
    <x v="21"/>
    <x v="2"/>
    <n v="8"/>
  </r>
  <r>
    <x v="21"/>
    <x v="1"/>
    <n v="8"/>
  </r>
  <r>
    <x v="21"/>
    <x v="7"/>
    <n v="8"/>
  </r>
  <r>
    <x v="21"/>
    <x v="1"/>
    <n v="8"/>
  </r>
  <r>
    <x v="21"/>
    <x v="2"/>
    <n v="8"/>
  </r>
  <r>
    <x v="21"/>
    <x v="6"/>
    <n v="8"/>
  </r>
  <r>
    <x v="22"/>
    <x v="14"/>
    <n v="8"/>
  </r>
  <r>
    <x v="22"/>
    <x v="5"/>
    <n v="8"/>
  </r>
  <r>
    <x v="22"/>
    <x v="1"/>
    <n v="8"/>
  </r>
  <r>
    <x v="22"/>
    <x v="6"/>
    <n v="8"/>
  </r>
  <r>
    <x v="22"/>
    <x v="14"/>
    <n v="8"/>
  </r>
  <r>
    <x v="22"/>
    <x v="5"/>
    <n v="8"/>
  </r>
  <r>
    <x v="22"/>
    <x v="7"/>
    <n v="4"/>
  </r>
  <r>
    <x v="22"/>
    <x v="1"/>
    <n v="8"/>
  </r>
  <r>
    <x v="22"/>
    <x v="6"/>
    <n v="8"/>
  </r>
  <r>
    <x v="22"/>
    <x v="14"/>
    <n v="8"/>
  </r>
  <r>
    <x v="22"/>
    <x v="5"/>
    <n v="8"/>
  </r>
  <r>
    <x v="22"/>
    <x v="7"/>
    <n v="8"/>
  </r>
  <r>
    <x v="22"/>
    <x v="1"/>
    <n v="8"/>
  </r>
  <r>
    <x v="22"/>
    <x v="6"/>
    <n v="8"/>
  </r>
  <r>
    <x v="22"/>
    <x v="14"/>
    <n v="8"/>
  </r>
  <r>
    <x v="22"/>
    <x v="7"/>
    <n v="8"/>
  </r>
  <r>
    <x v="22"/>
    <x v="1"/>
    <n v="8"/>
  </r>
  <r>
    <x v="22"/>
    <x v="2"/>
    <n v="8"/>
  </r>
  <r>
    <x v="22"/>
    <x v="6"/>
    <n v="8"/>
  </r>
  <r>
    <x v="22"/>
    <x v="14"/>
    <n v="8"/>
  </r>
  <r>
    <x v="22"/>
    <x v="7"/>
    <n v="8"/>
  </r>
  <r>
    <x v="22"/>
    <x v="1"/>
    <n v="8"/>
  </r>
  <r>
    <x v="22"/>
    <x v="2"/>
    <n v="8"/>
  </r>
  <r>
    <x v="22"/>
    <x v="6"/>
    <n v="8"/>
  </r>
  <r>
    <x v="23"/>
    <x v="16"/>
    <n v="4"/>
  </r>
  <r>
    <x v="23"/>
    <x v="14"/>
    <n v="8"/>
  </r>
  <r>
    <x v="23"/>
    <x v="16"/>
    <n v="5"/>
  </r>
  <r>
    <x v="23"/>
    <x v="5"/>
    <n v="8"/>
  </r>
  <r>
    <x v="23"/>
    <x v="1"/>
    <n v="8"/>
  </r>
  <r>
    <x v="23"/>
    <x v="6"/>
    <n v="8"/>
  </r>
  <r>
    <x v="23"/>
    <x v="14"/>
    <n v="8"/>
  </r>
  <r>
    <x v="23"/>
    <x v="16"/>
    <n v="5"/>
  </r>
  <r>
    <x v="23"/>
    <x v="5"/>
    <n v="8"/>
  </r>
  <r>
    <x v="23"/>
    <x v="7"/>
    <n v="4"/>
  </r>
  <r>
    <x v="23"/>
    <x v="1"/>
    <n v="8"/>
  </r>
  <r>
    <x v="23"/>
    <x v="6"/>
    <n v="8"/>
  </r>
  <r>
    <x v="23"/>
    <x v="14"/>
    <n v="8"/>
  </r>
  <r>
    <x v="23"/>
    <x v="16"/>
    <n v="4"/>
  </r>
  <r>
    <x v="23"/>
    <x v="5"/>
    <n v="8"/>
  </r>
  <r>
    <x v="23"/>
    <x v="7"/>
    <n v="8"/>
  </r>
  <r>
    <x v="23"/>
    <x v="1"/>
    <n v="8"/>
  </r>
  <r>
    <x v="23"/>
    <x v="6"/>
    <n v="8"/>
  </r>
  <r>
    <x v="23"/>
    <x v="14"/>
    <n v="8"/>
  </r>
  <r>
    <x v="23"/>
    <x v="16"/>
    <n v="6"/>
  </r>
  <r>
    <x v="23"/>
    <x v="17"/>
    <n v="8"/>
  </r>
  <r>
    <x v="23"/>
    <x v="7"/>
    <n v="8"/>
  </r>
  <r>
    <x v="23"/>
    <x v="2"/>
    <n v="8"/>
  </r>
  <r>
    <x v="23"/>
    <x v="7"/>
    <n v="8"/>
  </r>
  <r>
    <x v="23"/>
    <x v="2"/>
    <n v="8"/>
  </r>
  <r>
    <x v="24"/>
    <x v="16"/>
    <n v="6"/>
  </r>
  <r>
    <x v="24"/>
    <x v="17"/>
    <n v="8"/>
  </r>
  <r>
    <x v="24"/>
    <x v="14"/>
    <n v="8"/>
  </r>
  <r>
    <x v="24"/>
    <x v="16"/>
    <n v="6"/>
  </r>
  <r>
    <x v="24"/>
    <x v="5"/>
    <n v="8"/>
  </r>
  <r>
    <x v="24"/>
    <x v="17"/>
    <n v="8"/>
  </r>
  <r>
    <x v="24"/>
    <x v="1"/>
    <n v="8"/>
  </r>
  <r>
    <x v="24"/>
    <x v="6"/>
    <n v="8"/>
  </r>
  <r>
    <x v="24"/>
    <x v="14"/>
    <n v="8"/>
  </r>
  <r>
    <x v="24"/>
    <x v="16"/>
    <n v="7"/>
  </r>
  <r>
    <x v="24"/>
    <x v="5"/>
    <n v="8"/>
  </r>
  <r>
    <x v="24"/>
    <x v="17"/>
    <n v="8"/>
  </r>
  <r>
    <x v="24"/>
    <x v="7"/>
    <n v="4"/>
  </r>
  <r>
    <x v="24"/>
    <x v="1"/>
    <n v="8"/>
  </r>
  <r>
    <x v="24"/>
    <x v="6"/>
    <n v="8"/>
  </r>
  <r>
    <x v="24"/>
    <x v="14"/>
    <n v="8"/>
  </r>
  <r>
    <x v="24"/>
    <x v="16"/>
    <n v="6"/>
  </r>
  <r>
    <x v="24"/>
    <x v="5"/>
    <n v="8"/>
  </r>
  <r>
    <x v="24"/>
    <x v="17"/>
    <n v="8"/>
  </r>
  <r>
    <x v="24"/>
    <x v="7"/>
    <n v="8"/>
  </r>
  <r>
    <x v="24"/>
    <x v="1"/>
    <n v="8"/>
  </r>
  <r>
    <x v="24"/>
    <x v="6"/>
    <n v="8"/>
  </r>
  <r>
    <x v="24"/>
    <x v="14"/>
    <n v="8"/>
  </r>
  <r>
    <x v="24"/>
    <x v="16"/>
    <n v="7"/>
  </r>
  <r>
    <x v="24"/>
    <x v="17"/>
    <n v="8"/>
  </r>
  <r>
    <x v="24"/>
    <x v="7"/>
    <n v="8"/>
  </r>
  <r>
    <x v="24"/>
    <x v="2"/>
    <n v="8"/>
  </r>
  <r>
    <x v="24"/>
    <x v="14"/>
    <n v="8"/>
  </r>
  <r>
    <x v="24"/>
    <x v="7"/>
    <n v="8"/>
  </r>
  <r>
    <x v="24"/>
    <x v="2"/>
    <n v="8"/>
  </r>
  <r>
    <x v="25"/>
    <x v="16"/>
    <n v="6"/>
  </r>
  <r>
    <x v="25"/>
    <x v="17"/>
    <n v="8"/>
  </r>
  <r>
    <x v="25"/>
    <x v="16"/>
    <n v="6"/>
  </r>
  <r>
    <x v="25"/>
    <x v="5"/>
    <n v="8"/>
  </r>
  <r>
    <x v="25"/>
    <x v="17"/>
    <n v="8"/>
  </r>
  <r>
    <x v="25"/>
    <x v="1"/>
    <n v="8"/>
  </r>
  <r>
    <x v="25"/>
    <x v="6"/>
    <n v="8"/>
  </r>
  <r>
    <x v="25"/>
    <x v="14"/>
    <n v="8"/>
  </r>
  <r>
    <x v="25"/>
    <x v="16"/>
    <n v="7"/>
  </r>
  <r>
    <x v="25"/>
    <x v="5"/>
    <n v="8"/>
  </r>
  <r>
    <x v="25"/>
    <x v="17"/>
    <n v="8"/>
  </r>
  <r>
    <x v="25"/>
    <x v="7"/>
    <n v="4"/>
  </r>
  <r>
    <x v="25"/>
    <x v="1"/>
    <n v="8"/>
  </r>
  <r>
    <x v="25"/>
    <x v="6"/>
    <n v="8"/>
  </r>
  <r>
    <x v="25"/>
    <x v="14"/>
    <n v="8"/>
  </r>
  <r>
    <x v="25"/>
    <x v="16"/>
    <n v="6"/>
  </r>
  <r>
    <x v="25"/>
    <x v="5"/>
    <n v="8"/>
  </r>
  <r>
    <x v="25"/>
    <x v="17"/>
    <n v="8"/>
  </r>
  <r>
    <x v="25"/>
    <x v="7"/>
    <n v="8"/>
  </r>
  <r>
    <x v="25"/>
    <x v="1"/>
    <n v="8"/>
  </r>
  <r>
    <x v="25"/>
    <x v="6"/>
    <n v="8"/>
  </r>
  <r>
    <x v="25"/>
    <x v="14"/>
    <n v="8"/>
  </r>
  <r>
    <x v="25"/>
    <x v="17"/>
    <n v="8"/>
  </r>
  <r>
    <x v="25"/>
    <x v="7"/>
    <n v="8"/>
  </r>
  <r>
    <x v="25"/>
    <x v="2"/>
    <n v="8"/>
  </r>
  <r>
    <x v="25"/>
    <x v="14"/>
    <n v="8"/>
  </r>
  <r>
    <x v="25"/>
    <x v="7"/>
    <n v="8"/>
  </r>
  <r>
    <x v="25"/>
    <x v="2"/>
    <n v="8"/>
  </r>
  <r>
    <x v="26"/>
    <x v="16"/>
    <n v="6"/>
  </r>
  <r>
    <x v="26"/>
    <x v="17"/>
    <n v="8"/>
  </r>
  <r>
    <x v="26"/>
    <x v="14"/>
    <n v="8"/>
  </r>
  <r>
    <x v="26"/>
    <x v="16"/>
    <n v="6"/>
  </r>
  <r>
    <x v="26"/>
    <x v="5"/>
    <n v="8"/>
  </r>
  <r>
    <x v="26"/>
    <x v="17"/>
    <n v="8"/>
  </r>
  <r>
    <x v="26"/>
    <x v="1"/>
    <n v="8"/>
  </r>
  <r>
    <x v="26"/>
    <x v="18"/>
    <n v="8"/>
  </r>
  <r>
    <x v="26"/>
    <x v="6"/>
    <n v="8"/>
  </r>
  <r>
    <x v="26"/>
    <x v="14"/>
    <n v="8"/>
  </r>
  <r>
    <x v="26"/>
    <x v="16"/>
    <n v="7"/>
  </r>
  <r>
    <x v="26"/>
    <x v="5"/>
    <n v="8"/>
  </r>
  <r>
    <x v="26"/>
    <x v="17"/>
    <n v="8"/>
  </r>
  <r>
    <x v="26"/>
    <x v="7"/>
    <n v="4"/>
  </r>
  <r>
    <x v="26"/>
    <x v="1"/>
    <n v="8"/>
  </r>
  <r>
    <x v="26"/>
    <x v="18"/>
    <n v="8"/>
  </r>
  <r>
    <x v="26"/>
    <x v="6"/>
    <n v="8"/>
  </r>
  <r>
    <x v="26"/>
    <x v="14"/>
    <n v="8"/>
  </r>
  <r>
    <x v="26"/>
    <x v="16"/>
    <n v="7"/>
  </r>
  <r>
    <x v="26"/>
    <x v="5"/>
    <n v="8"/>
  </r>
  <r>
    <x v="26"/>
    <x v="17"/>
    <n v="8"/>
  </r>
  <r>
    <x v="26"/>
    <x v="7"/>
    <n v="8"/>
  </r>
  <r>
    <x v="26"/>
    <x v="1"/>
    <n v="8"/>
  </r>
  <r>
    <x v="26"/>
    <x v="18"/>
    <n v="8"/>
  </r>
  <r>
    <x v="26"/>
    <x v="6"/>
    <n v="8"/>
  </r>
  <r>
    <x v="26"/>
    <x v="14"/>
    <n v="8"/>
  </r>
  <r>
    <x v="26"/>
    <x v="16"/>
    <n v="6"/>
  </r>
  <r>
    <x v="26"/>
    <x v="17"/>
    <n v="8"/>
  </r>
  <r>
    <x v="26"/>
    <x v="7"/>
    <n v="8"/>
  </r>
  <r>
    <x v="26"/>
    <x v="2"/>
    <n v="8"/>
  </r>
  <r>
    <x v="26"/>
    <x v="18"/>
    <n v="8"/>
  </r>
  <r>
    <x v="26"/>
    <x v="14"/>
    <n v="8"/>
  </r>
  <r>
    <x v="26"/>
    <x v="17"/>
    <n v="8"/>
  </r>
  <r>
    <x v="26"/>
    <x v="7"/>
    <n v="8"/>
  </r>
  <r>
    <x v="26"/>
    <x v="2"/>
    <n v="8"/>
  </r>
  <r>
    <x v="26"/>
    <x v="18"/>
    <n v="8"/>
  </r>
  <r>
    <x v="27"/>
    <x v="16"/>
    <n v="6"/>
  </r>
  <r>
    <x v="27"/>
    <x v="17"/>
    <n v="8"/>
  </r>
  <r>
    <x v="27"/>
    <x v="14"/>
    <n v="8"/>
  </r>
  <r>
    <x v="27"/>
    <x v="16"/>
    <n v="7"/>
  </r>
  <r>
    <x v="27"/>
    <x v="5"/>
    <n v="8"/>
  </r>
  <r>
    <x v="27"/>
    <x v="17"/>
    <n v="8"/>
  </r>
  <r>
    <x v="27"/>
    <x v="1"/>
    <n v="8"/>
  </r>
  <r>
    <x v="27"/>
    <x v="18"/>
    <n v="8"/>
  </r>
  <r>
    <x v="27"/>
    <x v="6"/>
    <n v="8"/>
  </r>
  <r>
    <x v="27"/>
    <x v="14"/>
    <n v="8"/>
  </r>
  <r>
    <x v="27"/>
    <x v="16"/>
    <n v="7"/>
  </r>
  <r>
    <x v="27"/>
    <x v="5"/>
    <n v="8"/>
  </r>
  <r>
    <x v="27"/>
    <x v="17"/>
    <n v="8"/>
  </r>
  <r>
    <x v="27"/>
    <x v="7"/>
    <n v="4"/>
  </r>
  <r>
    <x v="27"/>
    <x v="1"/>
    <n v="8"/>
  </r>
  <r>
    <x v="27"/>
    <x v="18"/>
    <n v="8"/>
  </r>
  <r>
    <x v="27"/>
    <x v="6"/>
    <n v="8"/>
  </r>
  <r>
    <x v="27"/>
    <x v="14"/>
    <n v="8"/>
  </r>
  <r>
    <x v="27"/>
    <x v="16"/>
    <n v="6"/>
  </r>
  <r>
    <x v="27"/>
    <x v="5"/>
    <n v="8"/>
  </r>
  <r>
    <x v="27"/>
    <x v="17"/>
    <n v="8"/>
  </r>
  <r>
    <x v="27"/>
    <x v="7"/>
    <n v="8"/>
  </r>
  <r>
    <x v="27"/>
    <x v="1"/>
    <n v="8"/>
  </r>
  <r>
    <x v="27"/>
    <x v="18"/>
    <n v="8"/>
  </r>
  <r>
    <x v="27"/>
    <x v="6"/>
    <n v="8"/>
  </r>
  <r>
    <x v="27"/>
    <x v="14"/>
    <n v="8"/>
  </r>
  <r>
    <x v="27"/>
    <x v="16"/>
    <n v="6"/>
  </r>
  <r>
    <x v="27"/>
    <x v="17"/>
    <n v="8"/>
  </r>
  <r>
    <x v="27"/>
    <x v="7"/>
    <n v="8"/>
  </r>
  <r>
    <x v="27"/>
    <x v="2"/>
    <n v="8"/>
  </r>
  <r>
    <x v="27"/>
    <x v="18"/>
    <n v="8"/>
  </r>
  <r>
    <x v="27"/>
    <x v="14"/>
    <n v="8"/>
  </r>
  <r>
    <x v="27"/>
    <x v="17"/>
    <n v="8"/>
  </r>
  <r>
    <x v="27"/>
    <x v="7"/>
    <n v="8"/>
  </r>
  <r>
    <x v="27"/>
    <x v="2"/>
    <n v="8"/>
  </r>
  <r>
    <x v="28"/>
    <x v="16"/>
    <n v="6"/>
  </r>
  <r>
    <x v="28"/>
    <x v="5"/>
    <n v="8"/>
  </r>
  <r>
    <x v="28"/>
    <x v="14"/>
    <n v="8"/>
  </r>
  <r>
    <x v="28"/>
    <x v="16"/>
    <n v="7"/>
  </r>
  <r>
    <x v="28"/>
    <x v="5"/>
    <n v="8"/>
  </r>
  <r>
    <x v="28"/>
    <x v="17"/>
    <n v="8"/>
  </r>
  <r>
    <x v="28"/>
    <x v="1"/>
    <n v="8"/>
  </r>
  <r>
    <x v="28"/>
    <x v="2"/>
    <n v="8"/>
  </r>
  <r>
    <x v="28"/>
    <x v="6"/>
    <n v="8"/>
  </r>
  <r>
    <x v="28"/>
    <x v="14"/>
    <n v="8"/>
  </r>
  <r>
    <x v="28"/>
    <x v="16"/>
    <n v="7"/>
  </r>
  <r>
    <x v="28"/>
    <x v="5"/>
    <n v="8"/>
  </r>
  <r>
    <x v="28"/>
    <x v="17"/>
    <n v="8"/>
  </r>
  <r>
    <x v="28"/>
    <x v="7"/>
    <n v="4"/>
  </r>
  <r>
    <x v="28"/>
    <x v="1"/>
    <n v="8"/>
  </r>
  <r>
    <x v="28"/>
    <x v="2"/>
    <n v="8"/>
  </r>
  <r>
    <x v="28"/>
    <x v="6"/>
    <n v="8"/>
  </r>
  <r>
    <x v="28"/>
    <x v="14"/>
    <n v="8"/>
  </r>
  <r>
    <x v="28"/>
    <x v="16"/>
    <n v="6"/>
  </r>
  <r>
    <x v="28"/>
    <x v="17"/>
    <n v="8"/>
  </r>
  <r>
    <x v="28"/>
    <x v="7"/>
    <n v="8"/>
  </r>
  <r>
    <x v="28"/>
    <x v="1"/>
    <n v="8"/>
  </r>
  <r>
    <x v="28"/>
    <x v="6"/>
    <n v="8"/>
  </r>
  <r>
    <x v="28"/>
    <x v="16"/>
    <n v="6"/>
  </r>
  <r>
    <x v="28"/>
    <x v="17"/>
    <n v="8"/>
  </r>
  <r>
    <x v="28"/>
    <x v="7"/>
    <n v="8"/>
  </r>
  <r>
    <x v="28"/>
    <x v="17"/>
    <n v="8"/>
  </r>
  <r>
    <x v="28"/>
    <x v="7"/>
    <n v="8"/>
  </r>
  <r>
    <x v="29"/>
    <x v="16"/>
    <n v="6"/>
  </r>
  <r>
    <x v="29"/>
    <x v="17"/>
    <n v="8"/>
  </r>
  <r>
    <x v="29"/>
    <x v="16"/>
    <n v="7"/>
  </r>
  <r>
    <x v="29"/>
    <x v="5"/>
    <n v="8"/>
  </r>
  <r>
    <x v="29"/>
    <x v="17"/>
    <n v="8"/>
  </r>
  <r>
    <x v="29"/>
    <x v="1"/>
    <n v="8"/>
  </r>
  <r>
    <x v="29"/>
    <x v="2"/>
    <n v="8"/>
  </r>
  <r>
    <x v="29"/>
    <x v="6"/>
    <n v="8"/>
  </r>
  <r>
    <x v="29"/>
    <x v="16"/>
    <n v="7"/>
  </r>
  <r>
    <x v="29"/>
    <x v="5"/>
    <n v="8"/>
  </r>
  <r>
    <x v="29"/>
    <x v="17"/>
    <n v="8"/>
  </r>
  <r>
    <x v="29"/>
    <x v="7"/>
    <n v="4"/>
  </r>
  <r>
    <x v="29"/>
    <x v="1"/>
    <n v="8"/>
  </r>
  <r>
    <x v="29"/>
    <x v="2"/>
    <n v="8"/>
  </r>
  <r>
    <x v="29"/>
    <x v="6"/>
    <n v="8"/>
  </r>
  <r>
    <x v="29"/>
    <x v="16"/>
    <n v="6"/>
  </r>
  <r>
    <x v="29"/>
    <x v="5"/>
    <n v="8"/>
  </r>
  <r>
    <x v="29"/>
    <x v="17"/>
    <n v="8"/>
  </r>
  <r>
    <x v="29"/>
    <x v="7"/>
    <n v="8"/>
  </r>
  <r>
    <x v="29"/>
    <x v="1"/>
    <n v="8"/>
  </r>
  <r>
    <x v="29"/>
    <x v="6"/>
    <n v="8"/>
  </r>
  <r>
    <x v="29"/>
    <x v="16"/>
    <n v="6"/>
  </r>
  <r>
    <x v="29"/>
    <x v="17"/>
    <n v="8"/>
  </r>
  <r>
    <x v="29"/>
    <x v="7"/>
    <n v="8"/>
  </r>
  <r>
    <x v="29"/>
    <x v="17"/>
    <n v="8"/>
  </r>
  <r>
    <x v="29"/>
    <x v="7"/>
    <n v="8"/>
  </r>
  <r>
    <x v="30"/>
    <x v="2"/>
    <n v="8"/>
  </r>
  <r>
    <x v="30"/>
    <x v="18"/>
    <n v="8"/>
  </r>
  <r>
    <x v="30"/>
    <x v="7"/>
    <n v="4"/>
  </r>
  <r>
    <x v="30"/>
    <x v="2"/>
    <n v="8"/>
  </r>
  <r>
    <x v="30"/>
    <x v="18"/>
    <n v="8"/>
  </r>
  <r>
    <x v="30"/>
    <x v="7"/>
    <n v="8"/>
  </r>
  <r>
    <x v="30"/>
    <x v="1"/>
    <n v="8"/>
  </r>
  <r>
    <x v="30"/>
    <x v="18"/>
    <n v="8"/>
  </r>
  <r>
    <x v="30"/>
    <x v="7"/>
    <n v="8"/>
  </r>
  <r>
    <x v="30"/>
    <x v="1"/>
    <n v="8"/>
  </r>
  <r>
    <x v="30"/>
    <x v="18"/>
    <n v="8"/>
  </r>
  <r>
    <x v="30"/>
    <x v="7"/>
    <n v="8"/>
  </r>
  <r>
    <x v="30"/>
    <x v="18"/>
    <n v="8"/>
  </r>
  <r>
    <x v="31"/>
    <x v="18"/>
    <n v="8"/>
  </r>
  <r>
    <x v="31"/>
    <x v="7"/>
    <n v="4"/>
  </r>
  <r>
    <x v="31"/>
    <x v="18"/>
    <n v="8"/>
  </r>
  <r>
    <x v="31"/>
    <x v="7"/>
    <n v="8"/>
  </r>
  <r>
    <x v="31"/>
    <x v="1"/>
    <n v="8"/>
  </r>
  <r>
    <x v="31"/>
    <x v="18"/>
    <n v="8"/>
  </r>
  <r>
    <x v="31"/>
    <x v="7"/>
    <n v="8"/>
  </r>
  <r>
    <x v="31"/>
    <x v="1"/>
    <n v="8"/>
  </r>
  <r>
    <x v="31"/>
    <x v="18"/>
    <n v="8"/>
  </r>
  <r>
    <x v="31"/>
    <x v="7"/>
    <n v="8"/>
  </r>
  <r>
    <x v="31"/>
    <x v="18"/>
    <n v="8"/>
  </r>
  <r>
    <x v="32"/>
    <x v="18"/>
    <n v="8"/>
  </r>
  <r>
    <x v="32"/>
    <x v="18"/>
    <n v="8"/>
  </r>
  <r>
    <x v="32"/>
    <x v="18"/>
    <n v="8"/>
  </r>
  <r>
    <x v="32"/>
    <x v="18"/>
    <n v="8"/>
  </r>
  <r>
    <x v="33"/>
    <x v="18"/>
    <n v="8"/>
  </r>
  <r>
    <x v="33"/>
    <x v="18"/>
    <n v="8"/>
  </r>
  <r>
    <x v="33"/>
    <x v="18"/>
    <n v="8"/>
  </r>
  <r>
    <x v="33"/>
    <x v="18"/>
    <n v="8"/>
  </r>
  <r>
    <x v="33"/>
    <x v="18"/>
    <n v="8"/>
  </r>
  <r>
    <x v="34"/>
    <x v="18"/>
    <n v="8"/>
  </r>
  <r>
    <x v="34"/>
    <x v="7"/>
    <n v="4"/>
  </r>
  <r>
    <x v="34"/>
    <x v="18"/>
    <n v="8"/>
  </r>
  <r>
    <x v="34"/>
    <x v="7"/>
    <n v="8"/>
  </r>
  <r>
    <x v="34"/>
    <x v="18"/>
    <n v="8"/>
  </r>
  <r>
    <x v="34"/>
    <x v="7"/>
    <n v="8"/>
  </r>
  <r>
    <x v="34"/>
    <x v="18"/>
    <n v="8"/>
  </r>
  <r>
    <x v="34"/>
    <x v="7"/>
    <n v="8"/>
  </r>
  <r>
    <x v="34"/>
    <x v="18"/>
    <n v="8"/>
  </r>
  <r>
    <x v="35"/>
    <x v="18"/>
    <n v="8"/>
  </r>
  <r>
    <x v="35"/>
    <x v="18"/>
    <n v="8"/>
  </r>
  <r>
    <x v="35"/>
    <x v="18"/>
    <n v="8"/>
  </r>
  <r>
    <x v="35"/>
    <x v="18"/>
    <n v="8"/>
  </r>
  <r>
    <x v="35"/>
    <x v="18"/>
    <n v="8"/>
  </r>
  <r>
    <x v="36"/>
    <x v="18"/>
    <n v="8"/>
  </r>
  <r>
    <x v="36"/>
    <x v="18"/>
    <n v="8"/>
  </r>
  <r>
    <x v="36"/>
    <x v="18"/>
    <n v="8"/>
  </r>
  <r>
    <x v="36"/>
    <x v="18"/>
    <n v="8"/>
  </r>
  <r>
    <x v="36"/>
    <x v="18"/>
    <n v="8"/>
  </r>
  <r>
    <x v="37"/>
    <x v="18"/>
    <n v="8"/>
  </r>
  <r>
    <x v="37"/>
    <x v="7"/>
    <n v="4"/>
  </r>
  <r>
    <x v="37"/>
    <x v="18"/>
    <n v="8"/>
  </r>
  <r>
    <x v="37"/>
    <x v="7"/>
    <n v="8"/>
  </r>
  <r>
    <x v="37"/>
    <x v="18"/>
    <n v="8"/>
  </r>
  <r>
    <x v="37"/>
    <x v="7"/>
    <n v="8"/>
  </r>
  <r>
    <x v="37"/>
    <x v="18"/>
    <n v="8"/>
  </r>
  <r>
    <x v="37"/>
    <x v="7"/>
    <n v="8"/>
  </r>
  <r>
    <x v="37"/>
    <x v="18"/>
    <n v="8"/>
  </r>
  <r>
    <x v="38"/>
    <x v="18"/>
    <n v="8"/>
  </r>
  <r>
    <x v="38"/>
    <x v="7"/>
    <n v="4"/>
  </r>
  <r>
    <x v="38"/>
    <x v="18"/>
    <n v="8"/>
  </r>
  <r>
    <x v="38"/>
    <x v="7"/>
    <n v="8"/>
  </r>
  <r>
    <x v="38"/>
    <x v="18"/>
    <n v="8"/>
  </r>
  <r>
    <x v="38"/>
    <x v="7"/>
    <n v="8"/>
  </r>
  <r>
    <x v="38"/>
    <x v="18"/>
    <n v="8"/>
  </r>
  <r>
    <x v="38"/>
    <x v="7"/>
    <n v="8"/>
  </r>
  <r>
    <x v="38"/>
    <x v="18"/>
    <n v="8"/>
  </r>
  <r>
    <x v="39"/>
    <x v="18"/>
    <n v="13"/>
  </r>
  <r>
    <x v="39"/>
    <x v="7"/>
    <n v="4"/>
  </r>
  <r>
    <x v="39"/>
    <x v="18"/>
    <n v="13"/>
  </r>
  <r>
    <x v="39"/>
    <x v="7"/>
    <n v="8"/>
  </r>
  <r>
    <x v="39"/>
    <x v="18"/>
    <n v="13"/>
  </r>
  <r>
    <x v="39"/>
    <x v="7"/>
    <n v="8"/>
  </r>
  <r>
    <x v="39"/>
    <x v="18"/>
    <n v="13"/>
  </r>
  <r>
    <x v="39"/>
    <x v="7"/>
    <n v="8"/>
  </r>
  <r>
    <x v="39"/>
    <x v="18"/>
    <n v="12"/>
  </r>
  <r>
    <x v="40"/>
    <x v="18"/>
    <n v="13"/>
  </r>
  <r>
    <x v="40"/>
    <x v="7"/>
    <n v="4"/>
  </r>
  <r>
    <x v="40"/>
    <x v="18"/>
    <n v="13"/>
  </r>
  <r>
    <x v="40"/>
    <x v="7"/>
    <n v="8"/>
  </r>
  <r>
    <x v="40"/>
    <x v="18"/>
    <n v="13"/>
  </r>
  <r>
    <x v="40"/>
    <x v="7"/>
    <n v="8"/>
  </r>
  <r>
    <x v="40"/>
    <x v="18"/>
    <n v="13"/>
  </r>
  <r>
    <x v="40"/>
    <x v="7"/>
    <n v="8"/>
  </r>
  <r>
    <x v="40"/>
    <x v="18"/>
    <n v="12"/>
  </r>
  <r>
    <x v="41"/>
    <x v="7"/>
    <n v="4"/>
  </r>
  <r>
    <x v="41"/>
    <x v="7"/>
    <n v="8"/>
  </r>
  <r>
    <x v="41"/>
    <x v="7"/>
    <n v="8"/>
  </r>
  <r>
    <x v="41"/>
    <x v="7"/>
    <n v="8"/>
  </r>
  <r>
    <x v="42"/>
    <x v="18"/>
    <n v="8"/>
  </r>
  <r>
    <x v="42"/>
    <x v="19"/>
    <n v="8"/>
  </r>
  <r>
    <x v="42"/>
    <x v="7"/>
    <n v="4"/>
  </r>
  <r>
    <x v="42"/>
    <x v="18"/>
    <n v="8"/>
  </r>
  <r>
    <x v="42"/>
    <x v="19"/>
    <n v="8"/>
  </r>
  <r>
    <x v="42"/>
    <x v="7"/>
    <n v="8"/>
  </r>
  <r>
    <x v="42"/>
    <x v="18"/>
    <n v="8"/>
  </r>
  <r>
    <x v="42"/>
    <x v="19"/>
    <n v="8"/>
  </r>
  <r>
    <x v="42"/>
    <x v="7"/>
    <n v="8"/>
  </r>
  <r>
    <x v="42"/>
    <x v="18"/>
    <n v="8"/>
  </r>
  <r>
    <x v="42"/>
    <x v="19"/>
    <n v="8"/>
  </r>
  <r>
    <x v="42"/>
    <x v="7"/>
    <n v="8"/>
  </r>
  <r>
    <x v="42"/>
    <x v="18"/>
    <n v="8"/>
  </r>
  <r>
    <x v="43"/>
    <x v="18"/>
    <n v="8"/>
  </r>
  <r>
    <x v="43"/>
    <x v="19"/>
    <n v="8"/>
  </r>
  <r>
    <x v="43"/>
    <x v="7"/>
    <n v="4"/>
  </r>
  <r>
    <x v="43"/>
    <x v="18"/>
    <n v="8"/>
  </r>
  <r>
    <x v="43"/>
    <x v="19"/>
    <n v="8"/>
  </r>
  <r>
    <x v="43"/>
    <x v="7"/>
    <n v="8"/>
  </r>
  <r>
    <x v="43"/>
    <x v="18"/>
    <n v="8"/>
  </r>
  <r>
    <x v="43"/>
    <x v="19"/>
    <n v="8"/>
  </r>
  <r>
    <x v="43"/>
    <x v="7"/>
    <n v="8"/>
  </r>
  <r>
    <x v="43"/>
    <x v="18"/>
    <n v="8"/>
  </r>
  <r>
    <x v="43"/>
    <x v="7"/>
    <n v="8"/>
  </r>
  <r>
    <x v="43"/>
    <x v="18"/>
    <n v="8"/>
  </r>
  <r>
    <x v="44"/>
    <x v="19"/>
    <n v="8"/>
  </r>
  <r>
    <x v="44"/>
    <x v="7"/>
    <n v="4"/>
  </r>
  <r>
    <x v="44"/>
    <x v="18"/>
    <n v="8"/>
  </r>
  <r>
    <x v="44"/>
    <x v="19"/>
    <n v="8"/>
  </r>
  <r>
    <x v="44"/>
    <x v="7"/>
    <n v="8"/>
  </r>
  <r>
    <x v="44"/>
    <x v="18"/>
    <n v="8"/>
  </r>
  <r>
    <x v="44"/>
    <x v="19"/>
    <n v="8"/>
  </r>
  <r>
    <x v="44"/>
    <x v="7"/>
    <n v="8"/>
  </r>
  <r>
    <x v="44"/>
    <x v="18"/>
    <n v="8"/>
  </r>
  <r>
    <x v="44"/>
    <x v="7"/>
    <n v="8"/>
  </r>
  <r>
    <x v="44"/>
    <x v="18"/>
    <n v="8"/>
  </r>
  <r>
    <x v="45"/>
    <x v="18"/>
    <n v="8"/>
  </r>
  <r>
    <x v="45"/>
    <x v="19"/>
    <n v="8"/>
  </r>
  <r>
    <x v="45"/>
    <x v="7"/>
    <n v="4"/>
  </r>
  <r>
    <x v="45"/>
    <x v="18"/>
    <n v="8"/>
  </r>
  <r>
    <x v="45"/>
    <x v="19"/>
    <n v="8"/>
  </r>
  <r>
    <x v="45"/>
    <x v="7"/>
    <n v="8"/>
  </r>
  <r>
    <x v="45"/>
    <x v="18"/>
    <n v="8"/>
  </r>
  <r>
    <x v="45"/>
    <x v="19"/>
    <n v="8"/>
  </r>
  <r>
    <x v="45"/>
    <x v="7"/>
    <n v="8"/>
  </r>
  <r>
    <x v="45"/>
    <x v="18"/>
    <n v="8"/>
  </r>
  <r>
    <x v="45"/>
    <x v="7"/>
    <n v="8"/>
  </r>
  <r>
    <x v="45"/>
    <x v="18"/>
    <n v="8"/>
  </r>
  <r>
    <x v="46"/>
    <x v="18"/>
    <n v="8"/>
  </r>
  <r>
    <x v="46"/>
    <x v="19"/>
    <n v="8"/>
  </r>
  <r>
    <x v="46"/>
    <x v="7"/>
    <n v="4"/>
  </r>
  <r>
    <x v="46"/>
    <x v="18"/>
    <n v="8"/>
  </r>
  <r>
    <x v="46"/>
    <x v="19"/>
    <n v="8"/>
  </r>
  <r>
    <x v="46"/>
    <x v="7"/>
    <n v="8"/>
  </r>
  <r>
    <x v="46"/>
    <x v="18"/>
    <n v="8"/>
  </r>
  <r>
    <x v="46"/>
    <x v="19"/>
    <n v="8"/>
  </r>
  <r>
    <x v="46"/>
    <x v="7"/>
    <n v="8"/>
  </r>
  <r>
    <x v="46"/>
    <x v="18"/>
    <n v="8"/>
  </r>
  <r>
    <x v="46"/>
    <x v="7"/>
    <n v="8"/>
  </r>
  <r>
    <x v="46"/>
    <x v="18"/>
    <n v="8"/>
  </r>
  <r>
    <x v="47"/>
    <x v="18"/>
    <n v="8"/>
  </r>
  <r>
    <x v="47"/>
    <x v="19"/>
    <n v="8"/>
  </r>
  <r>
    <x v="47"/>
    <x v="18"/>
    <n v="8"/>
  </r>
  <r>
    <x v="47"/>
    <x v="19"/>
    <n v="8"/>
  </r>
  <r>
    <x v="47"/>
    <x v="18"/>
    <n v="8"/>
  </r>
  <r>
    <x v="47"/>
    <x v="19"/>
    <n v="8"/>
  </r>
  <r>
    <x v="47"/>
    <x v="18"/>
    <n v="8"/>
  </r>
  <r>
    <x v="47"/>
    <x v="18"/>
    <n v="8"/>
  </r>
  <r>
    <x v="48"/>
    <x v="18"/>
    <n v="8"/>
  </r>
  <r>
    <x v="48"/>
    <x v="19"/>
    <n v="8"/>
  </r>
  <r>
    <x v="48"/>
    <x v="18"/>
    <n v="8"/>
  </r>
  <r>
    <x v="48"/>
    <x v="19"/>
    <n v="8"/>
  </r>
  <r>
    <x v="48"/>
    <x v="18"/>
    <n v="8"/>
  </r>
  <r>
    <x v="48"/>
    <x v="19"/>
    <n v="8"/>
  </r>
  <r>
    <x v="48"/>
    <x v="18"/>
    <n v="8"/>
  </r>
  <r>
    <x v="48"/>
    <x v="18"/>
    <n v="8"/>
  </r>
  <r>
    <x v="49"/>
    <x v="18"/>
    <n v="8"/>
  </r>
  <r>
    <x v="49"/>
    <x v="19"/>
    <n v="8"/>
  </r>
  <r>
    <x v="49"/>
    <x v="18"/>
    <n v="8"/>
  </r>
  <r>
    <x v="49"/>
    <x v="19"/>
    <n v="8"/>
  </r>
  <r>
    <x v="49"/>
    <x v="18"/>
    <n v="8"/>
  </r>
  <r>
    <x v="49"/>
    <x v="19"/>
    <n v="8"/>
  </r>
  <r>
    <x v="49"/>
    <x v="18"/>
    <n v="8"/>
  </r>
  <r>
    <x v="49"/>
    <x v="18"/>
    <n v="8"/>
  </r>
  <r>
    <x v="50"/>
    <x v="18"/>
    <n v="8"/>
  </r>
  <r>
    <x v="50"/>
    <x v="19"/>
    <n v="8"/>
  </r>
  <r>
    <x v="50"/>
    <x v="18"/>
    <n v="8"/>
  </r>
  <r>
    <x v="50"/>
    <x v="19"/>
    <n v="8"/>
  </r>
  <r>
    <x v="50"/>
    <x v="18"/>
    <n v="8"/>
  </r>
  <r>
    <x v="50"/>
    <x v="19"/>
    <n v="8"/>
  </r>
  <r>
    <x v="50"/>
    <x v="18"/>
    <n v="8"/>
  </r>
  <r>
    <x v="50"/>
    <x v="18"/>
    <n v="8"/>
  </r>
  <r>
    <x v="24"/>
    <x v="20"/>
    <n v="8"/>
  </r>
  <r>
    <x v="24"/>
    <x v="20"/>
    <n v="8"/>
  </r>
  <r>
    <x v="24"/>
    <x v="20"/>
    <n v="8"/>
  </r>
  <r>
    <x v="24"/>
    <x v="20"/>
    <n v="8"/>
  </r>
  <r>
    <x v="0"/>
    <x v="21"/>
    <n v="8"/>
  </r>
  <r>
    <x v="0"/>
    <x v="22"/>
    <n v="8"/>
  </r>
  <r>
    <x v="0"/>
    <x v="23"/>
    <n v="4"/>
  </r>
  <r>
    <x v="0"/>
    <x v="21"/>
    <n v="8"/>
  </r>
  <r>
    <x v="0"/>
    <x v="22"/>
    <n v="8"/>
  </r>
  <r>
    <x v="0"/>
    <x v="23"/>
    <n v="8"/>
  </r>
  <r>
    <x v="0"/>
    <x v="21"/>
    <n v="8"/>
  </r>
  <r>
    <x v="0"/>
    <x v="23"/>
    <n v="8"/>
  </r>
  <r>
    <x v="0"/>
    <x v="21"/>
    <n v="8"/>
  </r>
  <r>
    <x v="0"/>
    <x v="21"/>
    <n v="8"/>
  </r>
  <r>
    <x v="1"/>
    <x v="21"/>
    <n v="8"/>
  </r>
  <r>
    <x v="1"/>
    <x v="24"/>
    <n v="8"/>
  </r>
  <r>
    <x v="1"/>
    <x v="23"/>
    <n v="4"/>
  </r>
  <r>
    <x v="1"/>
    <x v="21"/>
    <n v="8"/>
  </r>
  <r>
    <x v="1"/>
    <x v="24"/>
    <n v="8"/>
  </r>
  <r>
    <x v="1"/>
    <x v="23"/>
    <n v="8"/>
  </r>
  <r>
    <x v="1"/>
    <x v="21"/>
    <n v="8"/>
  </r>
  <r>
    <x v="1"/>
    <x v="22"/>
    <n v="8"/>
  </r>
  <r>
    <x v="1"/>
    <x v="24"/>
    <n v="8"/>
  </r>
  <r>
    <x v="1"/>
    <x v="23"/>
    <n v="8"/>
  </r>
  <r>
    <x v="1"/>
    <x v="22"/>
    <n v="8"/>
  </r>
  <r>
    <x v="1"/>
    <x v="24"/>
    <n v="8"/>
  </r>
  <r>
    <x v="2"/>
    <x v="25"/>
    <n v="8"/>
  </r>
  <r>
    <x v="2"/>
    <x v="21"/>
    <n v="8"/>
  </r>
  <r>
    <x v="2"/>
    <x v="24"/>
    <n v="8"/>
  </r>
  <r>
    <x v="2"/>
    <x v="25"/>
    <n v="8"/>
  </r>
  <r>
    <x v="2"/>
    <x v="23"/>
    <n v="4"/>
  </r>
  <r>
    <x v="2"/>
    <x v="21"/>
    <n v="8"/>
  </r>
  <r>
    <x v="2"/>
    <x v="24"/>
    <n v="8"/>
  </r>
  <r>
    <x v="2"/>
    <x v="25"/>
    <n v="8"/>
  </r>
  <r>
    <x v="2"/>
    <x v="23"/>
    <n v="8"/>
  </r>
  <r>
    <x v="2"/>
    <x v="21"/>
    <n v="8"/>
  </r>
  <r>
    <x v="2"/>
    <x v="22"/>
    <n v="8"/>
  </r>
  <r>
    <x v="2"/>
    <x v="24"/>
    <n v="8"/>
  </r>
  <r>
    <x v="2"/>
    <x v="25"/>
    <n v="8"/>
  </r>
  <r>
    <x v="2"/>
    <x v="23"/>
    <n v="8"/>
  </r>
  <r>
    <x v="2"/>
    <x v="21"/>
    <n v="8"/>
  </r>
  <r>
    <x v="2"/>
    <x v="22"/>
    <n v="8"/>
  </r>
  <r>
    <x v="2"/>
    <x v="24"/>
    <n v="8"/>
  </r>
  <r>
    <x v="2"/>
    <x v="25"/>
    <n v="8"/>
  </r>
  <r>
    <x v="2"/>
    <x v="21"/>
    <n v="8"/>
  </r>
  <r>
    <x v="2"/>
    <x v="24"/>
    <n v="8"/>
  </r>
  <r>
    <x v="3"/>
    <x v="25"/>
    <n v="8"/>
  </r>
  <r>
    <x v="3"/>
    <x v="25"/>
    <n v="8"/>
  </r>
  <r>
    <x v="3"/>
    <x v="23"/>
    <n v="4"/>
  </r>
  <r>
    <x v="3"/>
    <x v="25"/>
    <n v="8"/>
  </r>
  <r>
    <x v="3"/>
    <x v="23"/>
    <n v="8"/>
  </r>
  <r>
    <x v="3"/>
    <x v="22"/>
    <n v="8"/>
  </r>
  <r>
    <x v="3"/>
    <x v="25"/>
    <n v="8"/>
  </r>
  <r>
    <x v="3"/>
    <x v="23"/>
    <n v="8"/>
  </r>
  <r>
    <x v="3"/>
    <x v="22"/>
    <n v="8"/>
  </r>
  <r>
    <x v="3"/>
    <x v="25"/>
    <n v="8"/>
  </r>
  <r>
    <x v="4"/>
    <x v="11"/>
    <n v="8"/>
  </r>
  <r>
    <x v="4"/>
    <x v="23"/>
    <n v="16"/>
  </r>
  <r>
    <x v="4"/>
    <x v="26"/>
    <n v="8"/>
  </r>
  <r>
    <x v="4"/>
    <x v="25"/>
    <n v="8"/>
  </r>
  <r>
    <x v="4"/>
    <x v="27"/>
    <n v="8"/>
  </r>
  <r>
    <x v="4"/>
    <x v="11"/>
    <n v="8"/>
  </r>
  <r>
    <x v="4"/>
    <x v="28"/>
    <n v="8"/>
  </r>
  <r>
    <x v="4"/>
    <x v="23"/>
    <n v="16"/>
  </r>
  <r>
    <x v="4"/>
    <x v="29"/>
    <n v="16"/>
  </r>
  <r>
    <x v="4"/>
    <x v="30"/>
    <n v="8"/>
  </r>
  <r>
    <x v="4"/>
    <x v="22"/>
    <n v="16"/>
  </r>
  <r>
    <x v="4"/>
    <x v="26"/>
    <n v="8"/>
  </r>
  <r>
    <x v="4"/>
    <x v="31"/>
    <n v="8"/>
  </r>
  <r>
    <x v="4"/>
    <x v="25"/>
    <n v="8"/>
  </r>
  <r>
    <x v="4"/>
    <x v="27"/>
    <n v="8"/>
  </r>
  <r>
    <x v="4"/>
    <x v="11"/>
    <n v="8"/>
  </r>
  <r>
    <x v="4"/>
    <x v="28"/>
    <n v="8"/>
  </r>
  <r>
    <x v="4"/>
    <x v="23"/>
    <n v="16"/>
  </r>
  <r>
    <x v="4"/>
    <x v="29"/>
    <n v="16"/>
  </r>
  <r>
    <x v="4"/>
    <x v="30"/>
    <n v="8"/>
  </r>
  <r>
    <x v="4"/>
    <x v="22"/>
    <n v="16"/>
  </r>
  <r>
    <x v="4"/>
    <x v="26"/>
    <n v="8"/>
  </r>
  <r>
    <x v="4"/>
    <x v="31"/>
    <n v="8"/>
  </r>
  <r>
    <x v="4"/>
    <x v="25"/>
    <n v="8"/>
  </r>
  <r>
    <x v="4"/>
    <x v="27"/>
    <n v="8"/>
  </r>
  <r>
    <x v="4"/>
    <x v="11"/>
    <n v="8"/>
  </r>
  <r>
    <x v="4"/>
    <x v="28"/>
    <n v="8"/>
  </r>
  <r>
    <x v="4"/>
    <x v="23"/>
    <n v="16"/>
  </r>
  <r>
    <x v="4"/>
    <x v="29"/>
    <n v="16"/>
  </r>
  <r>
    <x v="4"/>
    <x v="30"/>
    <n v="8"/>
  </r>
  <r>
    <x v="4"/>
    <x v="22"/>
    <n v="16"/>
  </r>
  <r>
    <x v="4"/>
    <x v="26"/>
    <n v="8"/>
  </r>
  <r>
    <x v="4"/>
    <x v="31"/>
    <n v="8"/>
  </r>
  <r>
    <x v="4"/>
    <x v="25"/>
    <n v="8"/>
  </r>
  <r>
    <x v="4"/>
    <x v="27"/>
    <n v="8"/>
  </r>
  <r>
    <x v="4"/>
    <x v="11"/>
    <n v="8"/>
  </r>
  <r>
    <x v="4"/>
    <x v="28"/>
    <n v="8"/>
  </r>
  <r>
    <x v="4"/>
    <x v="23"/>
    <n v="16"/>
  </r>
  <r>
    <x v="4"/>
    <x v="29"/>
    <n v="16"/>
  </r>
  <r>
    <x v="4"/>
    <x v="30"/>
    <n v="8"/>
  </r>
  <r>
    <x v="4"/>
    <x v="22"/>
    <n v="16"/>
  </r>
  <r>
    <x v="4"/>
    <x v="26"/>
    <n v="8"/>
  </r>
  <r>
    <x v="4"/>
    <x v="31"/>
    <n v="8"/>
  </r>
  <r>
    <x v="4"/>
    <x v="25"/>
    <n v="8"/>
  </r>
  <r>
    <x v="4"/>
    <x v="27"/>
    <n v="8"/>
  </r>
  <r>
    <x v="4"/>
    <x v="28"/>
    <n v="8"/>
  </r>
  <r>
    <x v="4"/>
    <x v="29"/>
    <n v="16"/>
  </r>
  <r>
    <x v="4"/>
    <x v="30"/>
    <n v="8"/>
  </r>
  <r>
    <x v="4"/>
    <x v="22"/>
    <n v="16"/>
  </r>
  <r>
    <x v="4"/>
    <x v="31"/>
    <n v="8"/>
  </r>
  <r>
    <x v="5"/>
    <x v="27"/>
    <n v="8"/>
  </r>
  <r>
    <x v="5"/>
    <x v="11"/>
    <n v="8"/>
  </r>
  <r>
    <x v="5"/>
    <x v="23"/>
    <n v="16"/>
  </r>
  <r>
    <x v="5"/>
    <x v="26"/>
    <n v="8"/>
  </r>
  <r>
    <x v="5"/>
    <x v="27"/>
    <n v="8"/>
  </r>
  <r>
    <x v="5"/>
    <x v="11"/>
    <n v="8"/>
  </r>
  <r>
    <x v="5"/>
    <x v="28"/>
    <n v="8"/>
  </r>
  <r>
    <x v="5"/>
    <x v="23"/>
    <n v="8"/>
  </r>
  <r>
    <x v="5"/>
    <x v="29"/>
    <n v="16"/>
  </r>
  <r>
    <x v="5"/>
    <x v="30"/>
    <n v="8"/>
  </r>
  <r>
    <x v="5"/>
    <x v="22"/>
    <n v="16"/>
  </r>
  <r>
    <x v="5"/>
    <x v="26"/>
    <n v="8"/>
  </r>
  <r>
    <x v="5"/>
    <x v="31"/>
    <n v="8"/>
  </r>
  <r>
    <x v="5"/>
    <x v="25"/>
    <n v="8"/>
  </r>
  <r>
    <x v="5"/>
    <x v="27"/>
    <n v="8"/>
  </r>
  <r>
    <x v="5"/>
    <x v="11"/>
    <n v="8"/>
  </r>
  <r>
    <x v="5"/>
    <x v="28"/>
    <n v="8"/>
  </r>
  <r>
    <x v="5"/>
    <x v="23"/>
    <n v="8"/>
  </r>
  <r>
    <x v="5"/>
    <x v="29"/>
    <n v="16"/>
  </r>
  <r>
    <x v="5"/>
    <x v="30"/>
    <n v="8"/>
  </r>
  <r>
    <x v="5"/>
    <x v="22"/>
    <n v="16"/>
  </r>
  <r>
    <x v="5"/>
    <x v="26"/>
    <n v="8"/>
  </r>
  <r>
    <x v="5"/>
    <x v="31"/>
    <n v="8"/>
  </r>
  <r>
    <x v="5"/>
    <x v="25"/>
    <n v="8"/>
  </r>
  <r>
    <x v="5"/>
    <x v="27"/>
    <n v="8"/>
  </r>
  <r>
    <x v="5"/>
    <x v="11"/>
    <n v="8"/>
  </r>
  <r>
    <x v="5"/>
    <x v="28"/>
    <n v="8"/>
  </r>
  <r>
    <x v="5"/>
    <x v="23"/>
    <n v="8"/>
  </r>
  <r>
    <x v="5"/>
    <x v="29"/>
    <n v="16"/>
  </r>
  <r>
    <x v="5"/>
    <x v="30"/>
    <n v="8"/>
  </r>
  <r>
    <x v="5"/>
    <x v="22"/>
    <n v="16"/>
  </r>
  <r>
    <x v="5"/>
    <x v="26"/>
    <n v="8"/>
  </r>
  <r>
    <x v="5"/>
    <x v="31"/>
    <n v="8"/>
  </r>
  <r>
    <x v="5"/>
    <x v="25"/>
    <n v="8"/>
  </r>
  <r>
    <x v="5"/>
    <x v="27"/>
    <n v="8"/>
  </r>
  <r>
    <x v="5"/>
    <x v="11"/>
    <n v="8"/>
  </r>
  <r>
    <x v="5"/>
    <x v="28"/>
    <n v="8"/>
  </r>
  <r>
    <x v="5"/>
    <x v="23"/>
    <n v="16"/>
  </r>
  <r>
    <x v="5"/>
    <x v="29"/>
    <n v="16"/>
  </r>
  <r>
    <x v="5"/>
    <x v="30"/>
    <n v="8"/>
  </r>
  <r>
    <x v="5"/>
    <x v="22"/>
    <n v="16"/>
  </r>
  <r>
    <x v="5"/>
    <x v="26"/>
    <n v="8"/>
  </r>
  <r>
    <x v="5"/>
    <x v="31"/>
    <n v="8"/>
  </r>
  <r>
    <x v="5"/>
    <x v="25"/>
    <n v="8"/>
  </r>
  <r>
    <x v="5"/>
    <x v="28"/>
    <n v="8"/>
  </r>
  <r>
    <x v="5"/>
    <x v="29"/>
    <n v="16"/>
  </r>
  <r>
    <x v="5"/>
    <x v="30"/>
    <n v="8"/>
  </r>
  <r>
    <x v="5"/>
    <x v="22"/>
    <n v="16"/>
  </r>
  <r>
    <x v="5"/>
    <x v="31"/>
    <n v="8"/>
  </r>
  <r>
    <x v="5"/>
    <x v="25"/>
    <n v="8"/>
  </r>
  <r>
    <x v="6"/>
    <x v="27"/>
    <n v="8"/>
  </r>
  <r>
    <x v="6"/>
    <x v="11"/>
    <n v="8"/>
  </r>
  <r>
    <x v="6"/>
    <x v="23"/>
    <n v="16"/>
  </r>
  <r>
    <x v="6"/>
    <x v="26"/>
    <n v="8"/>
  </r>
  <r>
    <x v="6"/>
    <x v="27"/>
    <n v="8"/>
  </r>
  <r>
    <x v="6"/>
    <x v="11"/>
    <n v="8"/>
  </r>
  <r>
    <x v="6"/>
    <x v="28"/>
    <n v="8"/>
  </r>
  <r>
    <x v="6"/>
    <x v="23"/>
    <n v="16"/>
  </r>
  <r>
    <x v="6"/>
    <x v="29"/>
    <n v="16"/>
  </r>
  <r>
    <x v="6"/>
    <x v="30"/>
    <n v="8"/>
  </r>
  <r>
    <x v="6"/>
    <x v="22"/>
    <n v="16"/>
  </r>
  <r>
    <x v="6"/>
    <x v="26"/>
    <n v="8"/>
  </r>
  <r>
    <x v="6"/>
    <x v="31"/>
    <n v="8"/>
  </r>
  <r>
    <x v="6"/>
    <x v="25"/>
    <n v="16"/>
  </r>
  <r>
    <x v="6"/>
    <x v="27"/>
    <n v="8"/>
  </r>
  <r>
    <x v="6"/>
    <x v="11"/>
    <n v="8"/>
  </r>
  <r>
    <x v="6"/>
    <x v="28"/>
    <n v="8"/>
  </r>
  <r>
    <x v="6"/>
    <x v="23"/>
    <n v="16"/>
  </r>
  <r>
    <x v="6"/>
    <x v="29"/>
    <n v="16"/>
  </r>
  <r>
    <x v="6"/>
    <x v="30"/>
    <n v="8"/>
  </r>
  <r>
    <x v="6"/>
    <x v="22"/>
    <n v="16"/>
  </r>
  <r>
    <x v="6"/>
    <x v="26"/>
    <n v="8"/>
  </r>
  <r>
    <x v="6"/>
    <x v="32"/>
    <n v="8"/>
  </r>
  <r>
    <x v="6"/>
    <x v="31"/>
    <n v="8"/>
  </r>
  <r>
    <x v="6"/>
    <x v="25"/>
    <n v="16"/>
  </r>
  <r>
    <x v="6"/>
    <x v="27"/>
    <n v="8"/>
  </r>
  <r>
    <x v="6"/>
    <x v="11"/>
    <n v="8"/>
  </r>
  <r>
    <x v="6"/>
    <x v="28"/>
    <n v="8"/>
  </r>
  <r>
    <x v="6"/>
    <x v="23"/>
    <n v="16"/>
  </r>
  <r>
    <x v="6"/>
    <x v="29"/>
    <n v="16"/>
  </r>
  <r>
    <x v="6"/>
    <x v="30"/>
    <n v="8"/>
  </r>
  <r>
    <x v="6"/>
    <x v="22"/>
    <n v="16"/>
  </r>
  <r>
    <x v="6"/>
    <x v="26"/>
    <n v="8"/>
  </r>
  <r>
    <x v="6"/>
    <x v="32"/>
    <n v="8"/>
  </r>
  <r>
    <x v="6"/>
    <x v="31"/>
    <n v="8"/>
  </r>
  <r>
    <x v="6"/>
    <x v="25"/>
    <n v="16"/>
  </r>
  <r>
    <x v="6"/>
    <x v="27"/>
    <n v="8"/>
  </r>
  <r>
    <x v="6"/>
    <x v="11"/>
    <n v="8"/>
  </r>
  <r>
    <x v="6"/>
    <x v="28"/>
    <n v="8"/>
  </r>
  <r>
    <x v="6"/>
    <x v="23"/>
    <n v="16"/>
  </r>
  <r>
    <x v="6"/>
    <x v="29"/>
    <n v="16"/>
  </r>
  <r>
    <x v="6"/>
    <x v="30"/>
    <n v="8"/>
  </r>
  <r>
    <x v="6"/>
    <x v="22"/>
    <n v="16"/>
  </r>
  <r>
    <x v="6"/>
    <x v="26"/>
    <n v="8"/>
  </r>
  <r>
    <x v="6"/>
    <x v="32"/>
    <n v="8"/>
  </r>
  <r>
    <x v="6"/>
    <x v="31"/>
    <n v="8"/>
  </r>
  <r>
    <x v="6"/>
    <x v="25"/>
    <n v="16"/>
  </r>
  <r>
    <x v="6"/>
    <x v="28"/>
    <n v="8"/>
  </r>
  <r>
    <x v="6"/>
    <x v="29"/>
    <n v="16"/>
  </r>
  <r>
    <x v="6"/>
    <x v="30"/>
    <n v="8"/>
  </r>
  <r>
    <x v="6"/>
    <x v="22"/>
    <n v="16"/>
  </r>
  <r>
    <x v="6"/>
    <x v="32"/>
    <n v="8"/>
  </r>
  <r>
    <x v="6"/>
    <x v="31"/>
    <n v="8"/>
  </r>
  <r>
    <x v="6"/>
    <x v="25"/>
    <n v="16"/>
  </r>
  <r>
    <x v="7"/>
    <x v="27"/>
    <n v="8"/>
  </r>
  <r>
    <x v="7"/>
    <x v="11"/>
    <n v="8"/>
  </r>
  <r>
    <x v="7"/>
    <x v="23"/>
    <n v="16"/>
  </r>
  <r>
    <x v="7"/>
    <x v="22"/>
    <n v="16"/>
  </r>
  <r>
    <x v="7"/>
    <x v="26"/>
    <n v="8"/>
  </r>
  <r>
    <x v="7"/>
    <x v="25"/>
    <n v="16"/>
  </r>
  <r>
    <x v="7"/>
    <x v="27"/>
    <n v="8"/>
  </r>
  <r>
    <x v="7"/>
    <x v="11"/>
    <n v="8"/>
  </r>
  <r>
    <x v="7"/>
    <x v="28"/>
    <n v="8"/>
  </r>
  <r>
    <x v="7"/>
    <x v="23"/>
    <n v="16"/>
  </r>
  <r>
    <x v="7"/>
    <x v="29"/>
    <n v="16"/>
  </r>
  <r>
    <x v="7"/>
    <x v="30"/>
    <n v="8"/>
  </r>
  <r>
    <x v="7"/>
    <x v="22"/>
    <n v="16"/>
  </r>
  <r>
    <x v="7"/>
    <x v="26"/>
    <n v="8"/>
  </r>
  <r>
    <x v="7"/>
    <x v="32"/>
    <n v="8"/>
  </r>
  <r>
    <x v="7"/>
    <x v="31"/>
    <n v="8"/>
  </r>
  <r>
    <x v="7"/>
    <x v="25"/>
    <n v="16"/>
  </r>
  <r>
    <x v="7"/>
    <x v="27"/>
    <n v="8"/>
  </r>
  <r>
    <x v="7"/>
    <x v="11"/>
    <n v="8"/>
  </r>
  <r>
    <x v="7"/>
    <x v="28"/>
    <n v="8"/>
  </r>
  <r>
    <x v="7"/>
    <x v="23"/>
    <n v="16"/>
  </r>
  <r>
    <x v="7"/>
    <x v="29"/>
    <n v="16"/>
  </r>
  <r>
    <x v="7"/>
    <x v="30"/>
    <n v="8"/>
  </r>
  <r>
    <x v="7"/>
    <x v="22"/>
    <n v="16"/>
  </r>
  <r>
    <x v="7"/>
    <x v="26"/>
    <n v="8"/>
  </r>
  <r>
    <x v="7"/>
    <x v="31"/>
    <n v="8"/>
  </r>
  <r>
    <x v="7"/>
    <x v="25"/>
    <n v="16"/>
  </r>
  <r>
    <x v="7"/>
    <x v="27"/>
    <n v="8"/>
  </r>
  <r>
    <x v="7"/>
    <x v="11"/>
    <n v="8"/>
  </r>
  <r>
    <x v="7"/>
    <x v="28"/>
    <n v="8"/>
  </r>
  <r>
    <x v="7"/>
    <x v="23"/>
    <n v="16"/>
  </r>
  <r>
    <x v="7"/>
    <x v="29"/>
    <n v="16"/>
  </r>
  <r>
    <x v="7"/>
    <x v="30"/>
    <n v="8"/>
  </r>
  <r>
    <x v="7"/>
    <x v="22"/>
    <n v="16"/>
  </r>
  <r>
    <x v="7"/>
    <x v="26"/>
    <n v="8"/>
  </r>
  <r>
    <x v="7"/>
    <x v="31"/>
    <n v="8"/>
  </r>
  <r>
    <x v="7"/>
    <x v="25"/>
    <n v="16"/>
  </r>
  <r>
    <x v="7"/>
    <x v="27"/>
    <n v="8"/>
  </r>
  <r>
    <x v="7"/>
    <x v="11"/>
    <n v="8"/>
  </r>
  <r>
    <x v="7"/>
    <x v="28"/>
    <n v="8"/>
  </r>
  <r>
    <x v="7"/>
    <x v="23"/>
    <n v="16"/>
  </r>
  <r>
    <x v="7"/>
    <x v="29"/>
    <n v="16"/>
  </r>
  <r>
    <x v="7"/>
    <x v="30"/>
    <n v="8"/>
  </r>
  <r>
    <x v="7"/>
    <x v="22"/>
    <n v="16"/>
  </r>
  <r>
    <x v="7"/>
    <x v="26"/>
    <n v="8"/>
  </r>
  <r>
    <x v="7"/>
    <x v="31"/>
    <n v="8"/>
  </r>
  <r>
    <x v="7"/>
    <x v="25"/>
    <n v="16"/>
  </r>
  <r>
    <x v="7"/>
    <x v="28"/>
    <n v="8"/>
  </r>
  <r>
    <x v="7"/>
    <x v="29"/>
    <n v="16"/>
  </r>
  <r>
    <x v="7"/>
    <x v="30"/>
    <n v="8"/>
  </r>
  <r>
    <x v="7"/>
    <x v="31"/>
    <n v="8"/>
  </r>
  <r>
    <x v="8"/>
    <x v="17"/>
    <n v="8"/>
  </r>
  <r>
    <x v="8"/>
    <x v="33"/>
    <n v="8"/>
  </r>
  <r>
    <x v="8"/>
    <x v="34"/>
    <n v="8"/>
  </r>
  <r>
    <x v="8"/>
    <x v="35"/>
    <n v="8"/>
  </r>
  <r>
    <x v="8"/>
    <x v="26"/>
    <n v="8"/>
  </r>
  <r>
    <x v="8"/>
    <x v="28"/>
    <n v="8"/>
  </r>
  <r>
    <x v="8"/>
    <x v="17"/>
    <n v="8"/>
  </r>
  <r>
    <x v="8"/>
    <x v="36"/>
    <n v="8"/>
  </r>
  <r>
    <x v="8"/>
    <x v="33"/>
    <n v="8"/>
  </r>
  <r>
    <x v="8"/>
    <x v="34"/>
    <n v="8"/>
  </r>
  <r>
    <x v="8"/>
    <x v="29"/>
    <n v="8"/>
  </r>
  <r>
    <x v="8"/>
    <x v="35"/>
    <n v="8"/>
  </r>
  <r>
    <x v="8"/>
    <x v="26"/>
    <n v="8"/>
  </r>
  <r>
    <x v="8"/>
    <x v="37"/>
    <n v="8"/>
  </r>
  <r>
    <x v="8"/>
    <x v="31"/>
    <n v="8"/>
  </r>
  <r>
    <x v="8"/>
    <x v="25"/>
    <n v="4"/>
  </r>
  <r>
    <x v="8"/>
    <x v="28"/>
    <n v="8"/>
  </r>
  <r>
    <x v="8"/>
    <x v="17"/>
    <n v="8"/>
  </r>
  <r>
    <x v="8"/>
    <x v="36"/>
    <n v="8"/>
  </r>
  <r>
    <x v="8"/>
    <x v="33"/>
    <n v="8"/>
  </r>
  <r>
    <x v="8"/>
    <x v="34"/>
    <n v="8"/>
  </r>
  <r>
    <x v="8"/>
    <x v="29"/>
    <n v="8"/>
  </r>
  <r>
    <x v="8"/>
    <x v="35"/>
    <n v="8"/>
  </r>
  <r>
    <x v="8"/>
    <x v="26"/>
    <n v="8"/>
  </r>
  <r>
    <x v="8"/>
    <x v="37"/>
    <n v="8"/>
  </r>
  <r>
    <x v="8"/>
    <x v="31"/>
    <n v="8"/>
  </r>
  <r>
    <x v="8"/>
    <x v="25"/>
    <n v="4"/>
  </r>
  <r>
    <x v="8"/>
    <x v="14"/>
    <n v="8"/>
  </r>
  <r>
    <x v="8"/>
    <x v="28"/>
    <n v="8"/>
  </r>
  <r>
    <x v="8"/>
    <x v="17"/>
    <n v="8"/>
  </r>
  <r>
    <x v="8"/>
    <x v="33"/>
    <n v="8"/>
  </r>
  <r>
    <x v="8"/>
    <x v="34"/>
    <n v="8"/>
  </r>
  <r>
    <x v="8"/>
    <x v="29"/>
    <n v="8"/>
  </r>
  <r>
    <x v="8"/>
    <x v="35"/>
    <n v="8"/>
  </r>
  <r>
    <x v="8"/>
    <x v="30"/>
    <n v="8"/>
  </r>
  <r>
    <x v="8"/>
    <x v="22"/>
    <n v="16"/>
  </r>
  <r>
    <x v="8"/>
    <x v="26"/>
    <n v="8"/>
  </r>
  <r>
    <x v="8"/>
    <x v="25"/>
    <n v="4"/>
  </r>
  <r>
    <x v="8"/>
    <x v="14"/>
    <n v="8"/>
  </r>
  <r>
    <x v="8"/>
    <x v="28"/>
    <n v="8"/>
  </r>
  <r>
    <x v="8"/>
    <x v="17"/>
    <n v="8"/>
  </r>
  <r>
    <x v="8"/>
    <x v="33"/>
    <n v="8"/>
  </r>
  <r>
    <x v="8"/>
    <x v="34"/>
    <n v="8"/>
  </r>
  <r>
    <x v="8"/>
    <x v="35"/>
    <n v="8"/>
  </r>
  <r>
    <x v="8"/>
    <x v="30"/>
    <n v="6"/>
  </r>
  <r>
    <x v="8"/>
    <x v="22"/>
    <n v="8"/>
  </r>
  <r>
    <x v="8"/>
    <x v="26"/>
    <n v="8"/>
  </r>
  <r>
    <x v="8"/>
    <x v="25"/>
    <n v="4"/>
  </r>
  <r>
    <x v="8"/>
    <x v="14"/>
    <n v="8"/>
  </r>
  <r>
    <x v="8"/>
    <x v="28"/>
    <n v="8"/>
  </r>
  <r>
    <x v="8"/>
    <x v="17"/>
    <n v="8"/>
  </r>
  <r>
    <x v="8"/>
    <x v="36"/>
    <n v="8"/>
  </r>
  <r>
    <x v="8"/>
    <x v="37"/>
    <n v="8"/>
  </r>
  <r>
    <x v="8"/>
    <x v="31"/>
    <n v="8"/>
  </r>
  <r>
    <x v="8"/>
    <x v="25"/>
    <n v="8"/>
  </r>
  <r>
    <x v="9"/>
    <x v="16"/>
    <n v="4"/>
  </r>
  <r>
    <x v="9"/>
    <x v="9"/>
    <n v="8"/>
  </r>
  <r>
    <x v="9"/>
    <x v="33"/>
    <n v="8"/>
  </r>
  <r>
    <x v="9"/>
    <x v="35"/>
    <n v="8"/>
  </r>
  <r>
    <x v="9"/>
    <x v="38"/>
    <n v="8"/>
  </r>
  <r>
    <x v="9"/>
    <x v="26"/>
    <n v="8"/>
  </r>
  <r>
    <x v="9"/>
    <x v="39"/>
    <n v="8"/>
  </r>
  <r>
    <x v="9"/>
    <x v="14"/>
    <n v="8"/>
  </r>
  <r>
    <x v="9"/>
    <x v="27"/>
    <n v="8"/>
  </r>
  <r>
    <x v="9"/>
    <x v="16"/>
    <n v="4"/>
  </r>
  <r>
    <x v="9"/>
    <x v="28"/>
    <n v="8"/>
  </r>
  <r>
    <x v="9"/>
    <x v="9"/>
    <n v="8"/>
  </r>
  <r>
    <x v="9"/>
    <x v="10"/>
    <n v="8"/>
  </r>
  <r>
    <x v="9"/>
    <x v="36"/>
    <n v="8"/>
  </r>
  <r>
    <x v="9"/>
    <x v="33"/>
    <n v="8"/>
  </r>
  <r>
    <x v="9"/>
    <x v="29"/>
    <n v="16"/>
  </r>
  <r>
    <x v="9"/>
    <x v="35"/>
    <n v="8"/>
  </r>
  <r>
    <x v="9"/>
    <x v="38"/>
    <n v="8"/>
  </r>
  <r>
    <x v="9"/>
    <x v="22"/>
    <n v="16"/>
  </r>
  <r>
    <x v="9"/>
    <x v="26"/>
    <n v="8"/>
  </r>
  <r>
    <x v="9"/>
    <x v="37"/>
    <n v="8"/>
  </r>
  <r>
    <x v="9"/>
    <x v="31"/>
    <n v="8"/>
  </r>
  <r>
    <x v="9"/>
    <x v="25"/>
    <n v="16"/>
  </r>
  <r>
    <x v="9"/>
    <x v="39"/>
    <n v="8"/>
  </r>
  <r>
    <x v="9"/>
    <x v="14"/>
    <n v="8"/>
  </r>
  <r>
    <x v="9"/>
    <x v="27"/>
    <n v="8"/>
  </r>
  <r>
    <x v="9"/>
    <x v="16"/>
    <n v="4"/>
  </r>
  <r>
    <x v="9"/>
    <x v="28"/>
    <n v="8"/>
  </r>
  <r>
    <x v="9"/>
    <x v="9"/>
    <n v="8"/>
  </r>
  <r>
    <x v="9"/>
    <x v="10"/>
    <n v="8"/>
  </r>
  <r>
    <x v="9"/>
    <x v="36"/>
    <n v="8"/>
  </r>
  <r>
    <x v="9"/>
    <x v="33"/>
    <n v="8"/>
  </r>
  <r>
    <x v="9"/>
    <x v="29"/>
    <n v="16"/>
  </r>
  <r>
    <x v="9"/>
    <x v="35"/>
    <n v="8"/>
  </r>
  <r>
    <x v="9"/>
    <x v="38"/>
    <n v="8"/>
  </r>
  <r>
    <x v="9"/>
    <x v="22"/>
    <n v="16"/>
  </r>
  <r>
    <x v="9"/>
    <x v="26"/>
    <n v="8"/>
  </r>
  <r>
    <x v="9"/>
    <x v="37"/>
    <n v="8"/>
  </r>
  <r>
    <x v="9"/>
    <x v="31"/>
    <n v="8"/>
  </r>
  <r>
    <x v="9"/>
    <x v="25"/>
    <n v="16"/>
  </r>
  <r>
    <x v="9"/>
    <x v="39"/>
    <n v="8"/>
  </r>
  <r>
    <x v="9"/>
    <x v="14"/>
    <n v="8"/>
  </r>
  <r>
    <x v="9"/>
    <x v="27"/>
    <n v="8"/>
  </r>
  <r>
    <x v="9"/>
    <x v="16"/>
    <n v="4"/>
  </r>
  <r>
    <x v="9"/>
    <x v="28"/>
    <n v="8"/>
  </r>
  <r>
    <x v="9"/>
    <x v="9"/>
    <n v="8"/>
  </r>
  <r>
    <x v="9"/>
    <x v="10"/>
    <n v="4"/>
  </r>
  <r>
    <x v="9"/>
    <x v="36"/>
    <n v="8"/>
  </r>
  <r>
    <x v="9"/>
    <x v="33"/>
    <n v="8"/>
  </r>
  <r>
    <x v="9"/>
    <x v="29"/>
    <n v="16"/>
  </r>
  <r>
    <x v="9"/>
    <x v="35"/>
    <n v="8"/>
  </r>
  <r>
    <x v="9"/>
    <x v="30"/>
    <n v="8"/>
  </r>
  <r>
    <x v="9"/>
    <x v="38"/>
    <n v="8"/>
  </r>
  <r>
    <x v="9"/>
    <x v="22"/>
    <n v="16"/>
  </r>
  <r>
    <x v="9"/>
    <x v="26"/>
    <n v="8"/>
  </r>
  <r>
    <x v="9"/>
    <x v="37"/>
    <n v="8"/>
  </r>
  <r>
    <x v="9"/>
    <x v="31"/>
    <n v="8"/>
  </r>
  <r>
    <x v="9"/>
    <x v="25"/>
    <n v="16"/>
  </r>
  <r>
    <x v="9"/>
    <x v="39"/>
    <n v="8"/>
  </r>
  <r>
    <x v="9"/>
    <x v="14"/>
    <n v="8"/>
  </r>
  <r>
    <x v="9"/>
    <x v="27"/>
    <n v="8"/>
  </r>
  <r>
    <x v="9"/>
    <x v="28"/>
    <n v="8"/>
  </r>
  <r>
    <x v="9"/>
    <x v="9"/>
    <n v="8"/>
  </r>
  <r>
    <x v="9"/>
    <x v="36"/>
    <n v="8"/>
  </r>
  <r>
    <x v="9"/>
    <x v="29"/>
    <n v="16"/>
  </r>
  <r>
    <x v="9"/>
    <x v="35"/>
    <n v="8"/>
  </r>
  <r>
    <x v="9"/>
    <x v="30"/>
    <n v="8"/>
  </r>
  <r>
    <x v="9"/>
    <x v="22"/>
    <n v="16"/>
  </r>
  <r>
    <x v="9"/>
    <x v="26"/>
    <n v="8"/>
  </r>
  <r>
    <x v="9"/>
    <x v="37"/>
    <n v="8"/>
  </r>
  <r>
    <x v="9"/>
    <x v="31"/>
    <n v="8"/>
  </r>
  <r>
    <x v="9"/>
    <x v="25"/>
    <n v="16"/>
  </r>
  <r>
    <x v="9"/>
    <x v="39"/>
    <n v="8"/>
  </r>
  <r>
    <x v="9"/>
    <x v="14"/>
    <n v="8"/>
  </r>
  <r>
    <x v="9"/>
    <x v="27"/>
    <n v="8"/>
  </r>
  <r>
    <x v="9"/>
    <x v="28"/>
    <n v="8"/>
  </r>
  <r>
    <x v="9"/>
    <x v="36"/>
    <n v="8"/>
  </r>
  <r>
    <x v="9"/>
    <x v="29"/>
    <n v="16"/>
  </r>
  <r>
    <x v="9"/>
    <x v="38"/>
    <n v="8"/>
  </r>
  <r>
    <x v="9"/>
    <x v="22"/>
    <n v="16"/>
  </r>
  <r>
    <x v="9"/>
    <x v="37"/>
    <n v="8"/>
  </r>
  <r>
    <x v="9"/>
    <x v="31"/>
    <n v="8"/>
  </r>
  <r>
    <x v="9"/>
    <x v="25"/>
    <n v="16"/>
  </r>
  <r>
    <x v="10"/>
    <x v="26"/>
    <n v="8"/>
  </r>
  <r>
    <x v="10"/>
    <x v="9"/>
    <n v="8"/>
  </r>
  <r>
    <x v="10"/>
    <x v="40"/>
    <n v="8"/>
  </r>
  <r>
    <x v="10"/>
    <x v="33"/>
    <n v="8"/>
  </r>
  <r>
    <x v="10"/>
    <x v="34"/>
    <n v="8"/>
  </r>
  <r>
    <x v="10"/>
    <x v="35"/>
    <n v="8"/>
  </r>
  <r>
    <x v="10"/>
    <x v="39"/>
    <n v="8"/>
  </r>
  <r>
    <x v="10"/>
    <x v="14"/>
    <n v="8"/>
  </r>
  <r>
    <x v="10"/>
    <x v="27"/>
    <n v="8"/>
  </r>
  <r>
    <x v="10"/>
    <x v="28"/>
    <n v="8"/>
  </r>
  <r>
    <x v="10"/>
    <x v="9"/>
    <n v="8"/>
  </r>
  <r>
    <x v="10"/>
    <x v="10"/>
    <n v="8"/>
  </r>
  <r>
    <x v="10"/>
    <x v="40"/>
    <n v="8"/>
  </r>
  <r>
    <x v="10"/>
    <x v="36"/>
    <n v="8"/>
  </r>
  <r>
    <x v="10"/>
    <x v="33"/>
    <n v="8"/>
  </r>
  <r>
    <x v="10"/>
    <x v="34"/>
    <n v="8"/>
  </r>
  <r>
    <x v="10"/>
    <x v="29"/>
    <n v="16"/>
  </r>
  <r>
    <x v="10"/>
    <x v="35"/>
    <n v="8"/>
  </r>
  <r>
    <x v="10"/>
    <x v="22"/>
    <n v="16"/>
  </r>
  <r>
    <x v="10"/>
    <x v="26"/>
    <n v="12"/>
  </r>
  <r>
    <x v="10"/>
    <x v="41"/>
    <n v="4"/>
  </r>
  <r>
    <x v="10"/>
    <x v="37"/>
    <n v="8"/>
  </r>
  <r>
    <x v="10"/>
    <x v="31"/>
    <n v="8"/>
  </r>
  <r>
    <x v="10"/>
    <x v="25"/>
    <n v="16"/>
  </r>
  <r>
    <x v="10"/>
    <x v="39"/>
    <n v="8"/>
  </r>
  <r>
    <x v="10"/>
    <x v="14"/>
    <n v="8"/>
  </r>
  <r>
    <x v="10"/>
    <x v="27"/>
    <n v="8"/>
  </r>
  <r>
    <x v="10"/>
    <x v="28"/>
    <n v="8"/>
  </r>
  <r>
    <x v="10"/>
    <x v="9"/>
    <n v="8"/>
  </r>
  <r>
    <x v="10"/>
    <x v="10"/>
    <n v="8"/>
  </r>
  <r>
    <x v="10"/>
    <x v="40"/>
    <n v="8"/>
  </r>
  <r>
    <x v="10"/>
    <x v="36"/>
    <n v="8"/>
  </r>
  <r>
    <x v="10"/>
    <x v="33"/>
    <n v="8"/>
  </r>
  <r>
    <x v="10"/>
    <x v="34"/>
    <n v="8"/>
  </r>
  <r>
    <x v="10"/>
    <x v="29"/>
    <n v="16"/>
  </r>
  <r>
    <x v="10"/>
    <x v="35"/>
    <n v="8"/>
  </r>
  <r>
    <x v="10"/>
    <x v="22"/>
    <n v="16"/>
  </r>
  <r>
    <x v="10"/>
    <x v="26"/>
    <n v="8"/>
  </r>
  <r>
    <x v="10"/>
    <x v="41"/>
    <n v="4"/>
  </r>
  <r>
    <x v="10"/>
    <x v="37"/>
    <n v="8"/>
  </r>
  <r>
    <x v="10"/>
    <x v="31"/>
    <n v="8"/>
  </r>
  <r>
    <x v="10"/>
    <x v="25"/>
    <n v="16"/>
  </r>
  <r>
    <x v="10"/>
    <x v="39"/>
    <n v="8"/>
  </r>
  <r>
    <x v="10"/>
    <x v="14"/>
    <n v="8"/>
  </r>
  <r>
    <x v="10"/>
    <x v="27"/>
    <n v="8"/>
  </r>
  <r>
    <x v="10"/>
    <x v="28"/>
    <n v="8"/>
  </r>
  <r>
    <x v="10"/>
    <x v="9"/>
    <n v="8"/>
  </r>
  <r>
    <x v="10"/>
    <x v="10"/>
    <n v="4"/>
  </r>
  <r>
    <x v="10"/>
    <x v="40"/>
    <n v="8"/>
  </r>
  <r>
    <x v="10"/>
    <x v="36"/>
    <n v="8"/>
  </r>
  <r>
    <x v="10"/>
    <x v="33"/>
    <n v="8"/>
  </r>
  <r>
    <x v="10"/>
    <x v="34"/>
    <n v="8"/>
  </r>
  <r>
    <x v="10"/>
    <x v="29"/>
    <n v="16"/>
  </r>
  <r>
    <x v="10"/>
    <x v="35"/>
    <n v="8"/>
  </r>
  <r>
    <x v="10"/>
    <x v="22"/>
    <n v="16"/>
  </r>
  <r>
    <x v="10"/>
    <x v="26"/>
    <n v="8"/>
  </r>
  <r>
    <x v="10"/>
    <x v="41"/>
    <n v="4"/>
  </r>
  <r>
    <x v="10"/>
    <x v="37"/>
    <n v="8"/>
  </r>
  <r>
    <x v="10"/>
    <x v="31"/>
    <n v="8"/>
  </r>
  <r>
    <x v="10"/>
    <x v="25"/>
    <n v="16"/>
  </r>
  <r>
    <x v="10"/>
    <x v="39"/>
    <n v="8"/>
  </r>
  <r>
    <x v="10"/>
    <x v="14"/>
    <n v="8"/>
  </r>
  <r>
    <x v="10"/>
    <x v="27"/>
    <n v="8"/>
  </r>
  <r>
    <x v="10"/>
    <x v="28"/>
    <n v="8"/>
  </r>
  <r>
    <x v="10"/>
    <x v="9"/>
    <n v="8"/>
  </r>
  <r>
    <x v="10"/>
    <x v="36"/>
    <n v="8"/>
  </r>
  <r>
    <x v="10"/>
    <x v="33"/>
    <n v="8"/>
  </r>
  <r>
    <x v="10"/>
    <x v="34"/>
    <n v="8"/>
  </r>
  <r>
    <x v="10"/>
    <x v="29"/>
    <n v="16"/>
  </r>
  <r>
    <x v="10"/>
    <x v="35"/>
    <n v="8"/>
  </r>
  <r>
    <x v="10"/>
    <x v="30"/>
    <n v="8"/>
  </r>
  <r>
    <x v="10"/>
    <x v="22"/>
    <n v="16"/>
  </r>
  <r>
    <x v="10"/>
    <x v="26"/>
    <n v="8"/>
  </r>
  <r>
    <x v="10"/>
    <x v="41"/>
    <n v="4"/>
  </r>
  <r>
    <x v="10"/>
    <x v="37"/>
    <n v="8"/>
  </r>
  <r>
    <x v="10"/>
    <x v="31"/>
    <n v="8"/>
  </r>
  <r>
    <x v="10"/>
    <x v="25"/>
    <n v="16"/>
  </r>
  <r>
    <x v="10"/>
    <x v="39"/>
    <n v="8"/>
  </r>
  <r>
    <x v="10"/>
    <x v="14"/>
    <n v="8"/>
  </r>
  <r>
    <x v="10"/>
    <x v="27"/>
    <n v="8"/>
  </r>
  <r>
    <x v="10"/>
    <x v="42"/>
    <n v="8"/>
  </r>
  <r>
    <x v="10"/>
    <x v="28"/>
    <n v="8"/>
  </r>
  <r>
    <x v="10"/>
    <x v="36"/>
    <n v="8"/>
  </r>
  <r>
    <x v="10"/>
    <x v="29"/>
    <n v="16"/>
  </r>
  <r>
    <x v="10"/>
    <x v="30"/>
    <n v="8"/>
  </r>
  <r>
    <x v="10"/>
    <x v="22"/>
    <n v="16"/>
  </r>
  <r>
    <x v="10"/>
    <x v="26"/>
    <n v="8"/>
  </r>
  <r>
    <x v="10"/>
    <x v="41"/>
    <n v="4"/>
  </r>
  <r>
    <x v="10"/>
    <x v="37"/>
    <n v="8"/>
  </r>
  <r>
    <x v="10"/>
    <x v="31"/>
    <n v="8"/>
  </r>
  <r>
    <x v="10"/>
    <x v="25"/>
    <n v="16"/>
  </r>
  <r>
    <x v="11"/>
    <x v="26"/>
    <n v="8"/>
  </r>
  <r>
    <x v="11"/>
    <x v="16"/>
    <n v="4"/>
  </r>
  <r>
    <x v="11"/>
    <x v="9"/>
    <n v="8"/>
  </r>
  <r>
    <x v="11"/>
    <x v="17"/>
    <n v="8"/>
  </r>
  <r>
    <x v="11"/>
    <x v="40"/>
    <n v="8"/>
  </r>
  <r>
    <x v="11"/>
    <x v="33"/>
    <n v="8"/>
  </r>
  <r>
    <x v="11"/>
    <x v="35"/>
    <n v="8"/>
  </r>
  <r>
    <x v="11"/>
    <x v="27"/>
    <n v="8"/>
  </r>
  <r>
    <x v="11"/>
    <x v="43"/>
    <n v="8"/>
  </r>
  <r>
    <x v="11"/>
    <x v="16"/>
    <n v="4"/>
  </r>
  <r>
    <x v="11"/>
    <x v="28"/>
    <n v="8"/>
  </r>
  <r>
    <x v="11"/>
    <x v="9"/>
    <n v="8"/>
  </r>
  <r>
    <x v="11"/>
    <x v="10"/>
    <n v="8"/>
  </r>
  <r>
    <x v="11"/>
    <x v="17"/>
    <n v="8"/>
  </r>
  <r>
    <x v="11"/>
    <x v="40"/>
    <n v="8"/>
  </r>
  <r>
    <x v="11"/>
    <x v="21"/>
    <n v="8"/>
  </r>
  <r>
    <x v="11"/>
    <x v="33"/>
    <n v="8"/>
  </r>
  <r>
    <x v="11"/>
    <x v="29"/>
    <n v="16"/>
  </r>
  <r>
    <x v="11"/>
    <x v="35"/>
    <n v="8"/>
  </r>
  <r>
    <x v="11"/>
    <x v="22"/>
    <n v="16"/>
  </r>
  <r>
    <x v="11"/>
    <x v="26"/>
    <n v="12"/>
  </r>
  <r>
    <x v="11"/>
    <x v="25"/>
    <n v="16"/>
  </r>
  <r>
    <x v="11"/>
    <x v="27"/>
    <n v="8"/>
  </r>
  <r>
    <x v="11"/>
    <x v="43"/>
    <n v="8"/>
  </r>
  <r>
    <x v="11"/>
    <x v="16"/>
    <n v="4"/>
  </r>
  <r>
    <x v="11"/>
    <x v="28"/>
    <n v="8"/>
  </r>
  <r>
    <x v="11"/>
    <x v="9"/>
    <n v="8"/>
  </r>
  <r>
    <x v="11"/>
    <x v="10"/>
    <n v="8"/>
  </r>
  <r>
    <x v="11"/>
    <x v="17"/>
    <n v="8"/>
  </r>
  <r>
    <x v="11"/>
    <x v="40"/>
    <n v="8"/>
  </r>
  <r>
    <x v="11"/>
    <x v="21"/>
    <n v="8"/>
  </r>
  <r>
    <x v="11"/>
    <x v="33"/>
    <n v="8"/>
  </r>
  <r>
    <x v="11"/>
    <x v="29"/>
    <n v="16"/>
  </r>
  <r>
    <x v="11"/>
    <x v="35"/>
    <n v="8"/>
  </r>
  <r>
    <x v="11"/>
    <x v="22"/>
    <n v="16"/>
  </r>
  <r>
    <x v="11"/>
    <x v="26"/>
    <n v="8"/>
  </r>
  <r>
    <x v="11"/>
    <x v="25"/>
    <n v="16"/>
  </r>
  <r>
    <x v="11"/>
    <x v="27"/>
    <n v="8"/>
  </r>
  <r>
    <x v="11"/>
    <x v="43"/>
    <n v="8"/>
  </r>
  <r>
    <x v="11"/>
    <x v="16"/>
    <n v="4"/>
  </r>
  <r>
    <x v="11"/>
    <x v="28"/>
    <n v="8"/>
  </r>
  <r>
    <x v="11"/>
    <x v="9"/>
    <n v="8"/>
  </r>
  <r>
    <x v="11"/>
    <x v="10"/>
    <n v="8"/>
  </r>
  <r>
    <x v="11"/>
    <x v="17"/>
    <n v="8"/>
  </r>
  <r>
    <x v="11"/>
    <x v="40"/>
    <n v="8"/>
  </r>
  <r>
    <x v="11"/>
    <x v="36"/>
    <n v="8"/>
  </r>
  <r>
    <x v="11"/>
    <x v="21"/>
    <n v="8"/>
  </r>
  <r>
    <x v="11"/>
    <x v="33"/>
    <n v="8"/>
  </r>
  <r>
    <x v="11"/>
    <x v="44"/>
    <n v="8"/>
  </r>
  <r>
    <x v="11"/>
    <x v="29"/>
    <n v="16"/>
  </r>
  <r>
    <x v="11"/>
    <x v="45"/>
    <n v="8"/>
  </r>
  <r>
    <x v="11"/>
    <x v="35"/>
    <n v="8"/>
  </r>
  <r>
    <x v="11"/>
    <x v="46"/>
    <n v="8"/>
  </r>
  <r>
    <x v="11"/>
    <x v="47"/>
    <n v="13"/>
  </r>
  <r>
    <x v="11"/>
    <x v="22"/>
    <n v="16"/>
  </r>
  <r>
    <x v="11"/>
    <x v="26"/>
    <n v="8"/>
  </r>
  <r>
    <x v="11"/>
    <x v="41"/>
    <n v="8"/>
  </r>
  <r>
    <x v="11"/>
    <x v="37"/>
    <n v="8"/>
  </r>
  <r>
    <x v="11"/>
    <x v="48"/>
    <n v="8"/>
  </r>
  <r>
    <x v="11"/>
    <x v="31"/>
    <n v="8"/>
  </r>
  <r>
    <x v="11"/>
    <x v="25"/>
    <n v="16"/>
  </r>
  <r>
    <x v="11"/>
    <x v="27"/>
    <n v="2"/>
  </r>
  <r>
    <x v="11"/>
    <x v="42"/>
    <n v="8"/>
  </r>
  <r>
    <x v="11"/>
    <x v="28"/>
    <n v="8"/>
  </r>
  <r>
    <x v="11"/>
    <x v="9"/>
    <n v="8"/>
  </r>
  <r>
    <x v="11"/>
    <x v="10"/>
    <n v="8"/>
  </r>
  <r>
    <x v="11"/>
    <x v="17"/>
    <n v="8"/>
  </r>
  <r>
    <x v="11"/>
    <x v="36"/>
    <n v="8"/>
  </r>
  <r>
    <x v="11"/>
    <x v="44"/>
    <n v="8"/>
  </r>
  <r>
    <x v="11"/>
    <x v="29"/>
    <n v="16"/>
  </r>
  <r>
    <x v="11"/>
    <x v="45"/>
    <n v="8"/>
  </r>
  <r>
    <x v="11"/>
    <x v="35"/>
    <n v="8"/>
  </r>
  <r>
    <x v="11"/>
    <x v="46"/>
    <n v="8"/>
  </r>
  <r>
    <x v="11"/>
    <x v="47"/>
    <n v="13"/>
  </r>
  <r>
    <x v="11"/>
    <x v="30"/>
    <n v="8"/>
  </r>
  <r>
    <x v="11"/>
    <x v="22"/>
    <n v="16"/>
  </r>
  <r>
    <x v="11"/>
    <x v="26"/>
    <n v="8"/>
  </r>
  <r>
    <x v="11"/>
    <x v="41"/>
    <n v="8"/>
  </r>
  <r>
    <x v="11"/>
    <x v="37"/>
    <n v="8"/>
  </r>
  <r>
    <x v="11"/>
    <x v="48"/>
    <n v="8"/>
  </r>
  <r>
    <x v="11"/>
    <x v="31"/>
    <n v="8"/>
  </r>
  <r>
    <x v="11"/>
    <x v="25"/>
    <n v="16"/>
  </r>
  <r>
    <x v="11"/>
    <x v="42"/>
    <n v="8"/>
  </r>
  <r>
    <x v="11"/>
    <x v="28"/>
    <n v="8"/>
  </r>
  <r>
    <x v="11"/>
    <x v="10"/>
    <n v="8"/>
  </r>
  <r>
    <x v="11"/>
    <x v="36"/>
    <n v="8"/>
  </r>
  <r>
    <x v="11"/>
    <x v="44"/>
    <n v="8"/>
  </r>
  <r>
    <x v="11"/>
    <x v="29"/>
    <n v="16"/>
  </r>
  <r>
    <x v="11"/>
    <x v="45"/>
    <n v="8"/>
  </r>
  <r>
    <x v="11"/>
    <x v="46"/>
    <n v="8"/>
  </r>
  <r>
    <x v="11"/>
    <x v="47"/>
    <n v="14"/>
  </r>
  <r>
    <x v="11"/>
    <x v="30"/>
    <n v="8"/>
  </r>
  <r>
    <x v="11"/>
    <x v="22"/>
    <n v="16"/>
  </r>
  <r>
    <x v="11"/>
    <x v="26"/>
    <n v="8"/>
  </r>
  <r>
    <x v="11"/>
    <x v="41"/>
    <n v="4"/>
  </r>
  <r>
    <x v="11"/>
    <x v="37"/>
    <n v="8"/>
  </r>
  <r>
    <x v="11"/>
    <x v="48"/>
    <n v="8"/>
  </r>
  <r>
    <x v="11"/>
    <x v="31"/>
    <n v="8"/>
  </r>
  <r>
    <x v="11"/>
    <x v="25"/>
    <n v="16"/>
  </r>
  <r>
    <x v="12"/>
    <x v="26"/>
    <n v="8"/>
  </r>
  <r>
    <x v="12"/>
    <x v="43"/>
    <n v="8"/>
  </r>
  <r>
    <x v="12"/>
    <x v="16"/>
    <n v="3"/>
  </r>
  <r>
    <x v="12"/>
    <x v="9"/>
    <n v="8"/>
  </r>
  <r>
    <x v="12"/>
    <x v="40"/>
    <n v="8"/>
  </r>
  <r>
    <x v="12"/>
    <x v="33"/>
    <n v="8"/>
  </r>
  <r>
    <x v="12"/>
    <x v="35"/>
    <n v="8"/>
  </r>
  <r>
    <x v="12"/>
    <x v="27"/>
    <n v="16"/>
  </r>
  <r>
    <x v="12"/>
    <x v="43"/>
    <n v="8"/>
  </r>
  <r>
    <x v="12"/>
    <x v="16"/>
    <n v="3"/>
  </r>
  <r>
    <x v="12"/>
    <x v="28"/>
    <n v="8"/>
  </r>
  <r>
    <x v="12"/>
    <x v="9"/>
    <n v="8"/>
  </r>
  <r>
    <x v="12"/>
    <x v="10"/>
    <n v="8"/>
  </r>
  <r>
    <x v="12"/>
    <x v="40"/>
    <n v="8"/>
  </r>
  <r>
    <x v="12"/>
    <x v="36"/>
    <n v="8"/>
  </r>
  <r>
    <x v="12"/>
    <x v="21"/>
    <n v="8"/>
  </r>
  <r>
    <x v="12"/>
    <x v="33"/>
    <n v="8"/>
  </r>
  <r>
    <x v="12"/>
    <x v="44"/>
    <n v="6"/>
  </r>
  <r>
    <x v="12"/>
    <x v="29"/>
    <n v="16"/>
  </r>
  <r>
    <x v="12"/>
    <x v="45"/>
    <n v="8"/>
  </r>
  <r>
    <x v="12"/>
    <x v="35"/>
    <n v="8"/>
  </r>
  <r>
    <x v="12"/>
    <x v="46"/>
    <n v="8"/>
  </r>
  <r>
    <x v="12"/>
    <x v="47"/>
    <n v="8"/>
  </r>
  <r>
    <x v="12"/>
    <x v="22"/>
    <n v="16"/>
  </r>
  <r>
    <x v="12"/>
    <x v="26"/>
    <n v="12"/>
  </r>
  <r>
    <x v="12"/>
    <x v="37"/>
    <n v="8"/>
  </r>
  <r>
    <x v="12"/>
    <x v="48"/>
    <n v="8"/>
  </r>
  <r>
    <x v="12"/>
    <x v="31"/>
    <n v="8"/>
  </r>
  <r>
    <x v="12"/>
    <x v="25"/>
    <n v="16"/>
  </r>
  <r>
    <x v="12"/>
    <x v="27"/>
    <n v="16"/>
  </r>
  <r>
    <x v="12"/>
    <x v="43"/>
    <n v="8"/>
  </r>
  <r>
    <x v="12"/>
    <x v="16"/>
    <n v="3"/>
  </r>
  <r>
    <x v="12"/>
    <x v="28"/>
    <n v="8"/>
  </r>
  <r>
    <x v="12"/>
    <x v="9"/>
    <n v="8"/>
  </r>
  <r>
    <x v="12"/>
    <x v="10"/>
    <n v="8"/>
  </r>
  <r>
    <x v="12"/>
    <x v="40"/>
    <n v="8"/>
  </r>
  <r>
    <x v="12"/>
    <x v="36"/>
    <n v="8"/>
  </r>
  <r>
    <x v="12"/>
    <x v="21"/>
    <n v="8"/>
  </r>
  <r>
    <x v="12"/>
    <x v="44"/>
    <n v="6"/>
  </r>
  <r>
    <x v="12"/>
    <x v="29"/>
    <n v="16"/>
  </r>
  <r>
    <x v="12"/>
    <x v="45"/>
    <n v="8"/>
  </r>
  <r>
    <x v="12"/>
    <x v="35"/>
    <n v="8"/>
  </r>
  <r>
    <x v="12"/>
    <x v="46"/>
    <n v="8"/>
  </r>
  <r>
    <x v="12"/>
    <x v="47"/>
    <n v="8"/>
  </r>
  <r>
    <x v="12"/>
    <x v="22"/>
    <n v="16"/>
  </r>
  <r>
    <x v="12"/>
    <x v="26"/>
    <n v="8"/>
  </r>
  <r>
    <x v="12"/>
    <x v="37"/>
    <n v="8"/>
  </r>
  <r>
    <x v="12"/>
    <x v="48"/>
    <n v="8"/>
  </r>
  <r>
    <x v="12"/>
    <x v="31"/>
    <n v="8"/>
  </r>
  <r>
    <x v="12"/>
    <x v="25"/>
    <n v="16"/>
  </r>
  <r>
    <x v="12"/>
    <x v="27"/>
    <n v="16"/>
  </r>
  <r>
    <x v="12"/>
    <x v="43"/>
    <n v="8"/>
  </r>
  <r>
    <x v="12"/>
    <x v="16"/>
    <n v="2"/>
  </r>
  <r>
    <x v="12"/>
    <x v="28"/>
    <n v="8"/>
  </r>
  <r>
    <x v="12"/>
    <x v="9"/>
    <n v="8"/>
  </r>
  <r>
    <x v="12"/>
    <x v="10"/>
    <n v="8"/>
  </r>
  <r>
    <x v="12"/>
    <x v="40"/>
    <n v="8"/>
  </r>
  <r>
    <x v="12"/>
    <x v="36"/>
    <n v="8"/>
  </r>
  <r>
    <x v="12"/>
    <x v="21"/>
    <n v="8"/>
  </r>
  <r>
    <x v="12"/>
    <x v="44"/>
    <n v="6"/>
  </r>
  <r>
    <x v="12"/>
    <x v="29"/>
    <n v="16"/>
  </r>
  <r>
    <x v="12"/>
    <x v="45"/>
    <n v="8"/>
  </r>
  <r>
    <x v="12"/>
    <x v="35"/>
    <n v="8"/>
  </r>
  <r>
    <x v="12"/>
    <x v="46"/>
    <n v="8"/>
  </r>
  <r>
    <x v="12"/>
    <x v="47"/>
    <n v="8"/>
  </r>
  <r>
    <x v="12"/>
    <x v="22"/>
    <n v="16"/>
  </r>
  <r>
    <x v="12"/>
    <x v="26"/>
    <n v="8"/>
  </r>
  <r>
    <x v="12"/>
    <x v="37"/>
    <n v="8"/>
  </r>
  <r>
    <x v="12"/>
    <x v="31"/>
    <n v="8"/>
  </r>
  <r>
    <x v="12"/>
    <x v="25"/>
    <n v="16"/>
  </r>
  <r>
    <x v="12"/>
    <x v="27"/>
    <n v="16"/>
  </r>
  <r>
    <x v="12"/>
    <x v="43"/>
    <n v="8"/>
  </r>
  <r>
    <x v="12"/>
    <x v="16"/>
    <n v="5"/>
  </r>
  <r>
    <x v="12"/>
    <x v="42"/>
    <n v="8"/>
  </r>
  <r>
    <x v="12"/>
    <x v="28"/>
    <n v="8"/>
  </r>
  <r>
    <x v="12"/>
    <x v="9"/>
    <n v="8"/>
  </r>
  <r>
    <x v="12"/>
    <x v="10"/>
    <n v="8"/>
  </r>
  <r>
    <x v="12"/>
    <x v="36"/>
    <n v="8"/>
  </r>
  <r>
    <x v="12"/>
    <x v="21"/>
    <n v="8"/>
  </r>
  <r>
    <x v="12"/>
    <x v="44"/>
    <n v="7"/>
  </r>
  <r>
    <x v="12"/>
    <x v="29"/>
    <n v="16"/>
  </r>
  <r>
    <x v="12"/>
    <x v="45"/>
    <n v="8"/>
  </r>
  <r>
    <x v="12"/>
    <x v="35"/>
    <n v="8"/>
  </r>
  <r>
    <x v="12"/>
    <x v="46"/>
    <n v="8"/>
  </r>
  <r>
    <x v="12"/>
    <x v="47"/>
    <n v="8"/>
  </r>
  <r>
    <x v="12"/>
    <x v="30"/>
    <n v="8"/>
  </r>
  <r>
    <x v="12"/>
    <x v="22"/>
    <n v="16"/>
  </r>
  <r>
    <x v="12"/>
    <x v="26"/>
    <n v="8"/>
  </r>
  <r>
    <x v="12"/>
    <x v="37"/>
    <n v="8"/>
  </r>
  <r>
    <x v="12"/>
    <x v="48"/>
    <n v="8"/>
  </r>
  <r>
    <x v="12"/>
    <x v="31"/>
    <n v="8"/>
  </r>
  <r>
    <x v="12"/>
    <x v="25"/>
    <n v="16"/>
  </r>
  <r>
    <x v="12"/>
    <x v="27"/>
    <n v="16"/>
  </r>
  <r>
    <x v="12"/>
    <x v="42"/>
    <n v="8"/>
  </r>
  <r>
    <x v="12"/>
    <x v="28"/>
    <n v="8"/>
  </r>
  <r>
    <x v="12"/>
    <x v="10"/>
    <n v="8"/>
  </r>
  <r>
    <x v="12"/>
    <x v="36"/>
    <n v="8"/>
  </r>
  <r>
    <x v="12"/>
    <x v="44"/>
    <n v="7"/>
  </r>
  <r>
    <x v="12"/>
    <x v="29"/>
    <n v="16"/>
  </r>
  <r>
    <x v="12"/>
    <x v="47"/>
    <n v="8"/>
  </r>
  <r>
    <x v="12"/>
    <x v="30"/>
    <n v="8"/>
  </r>
  <r>
    <x v="12"/>
    <x v="22"/>
    <n v="16"/>
  </r>
  <r>
    <x v="12"/>
    <x v="26"/>
    <n v="8"/>
  </r>
  <r>
    <x v="12"/>
    <x v="37"/>
    <n v="8"/>
  </r>
  <r>
    <x v="12"/>
    <x v="48"/>
    <n v="8"/>
  </r>
  <r>
    <x v="12"/>
    <x v="31"/>
    <n v="8"/>
  </r>
  <r>
    <x v="12"/>
    <x v="25"/>
    <n v="16"/>
  </r>
  <r>
    <x v="13"/>
    <x v="12"/>
    <n v="8"/>
  </r>
  <r>
    <x v="13"/>
    <x v="43"/>
    <n v="8"/>
  </r>
  <r>
    <x v="13"/>
    <x v="16"/>
    <n v="3"/>
  </r>
  <r>
    <x v="13"/>
    <x v="12"/>
    <n v="8"/>
  </r>
  <r>
    <x v="13"/>
    <x v="8"/>
    <n v="4"/>
  </r>
  <r>
    <x v="13"/>
    <x v="27"/>
    <n v="8"/>
  </r>
  <r>
    <x v="13"/>
    <x v="43"/>
    <n v="8"/>
  </r>
  <r>
    <x v="13"/>
    <x v="16"/>
    <n v="3"/>
  </r>
  <r>
    <x v="13"/>
    <x v="28"/>
    <n v="8"/>
  </r>
  <r>
    <x v="13"/>
    <x v="23"/>
    <n v="8"/>
  </r>
  <r>
    <x v="13"/>
    <x v="10"/>
    <n v="8"/>
  </r>
  <r>
    <x v="13"/>
    <x v="36"/>
    <n v="8"/>
  </r>
  <r>
    <x v="13"/>
    <x v="21"/>
    <n v="8"/>
  </r>
  <r>
    <x v="13"/>
    <x v="44"/>
    <n v="6"/>
  </r>
  <r>
    <x v="13"/>
    <x v="29"/>
    <n v="16"/>
  </r>
  <r>
    <x v="13"/>
    <x v="45"/>
    <n v="8"/>
  </r>
  <r>
    <x v="13"/>
    <x v="46"/>
    <n v="8"/>
  </r>
  <r>
    <x v="13"/>
    <x v="47"/>
    <n v="8"/>
  </r>
  <r>
    <x v="13"/>
    <x v="22"/>
    <n v="16"/>
  </r>
  <r>
    <x v="13"/>
    <x v="26"/>
    <n v="8"/>
  </r>
  <r>
    <x v="13"/>
    <x v="41"/>
    <n v="4"/>
  </r>
  <r>
    <x v="13"/>
    <x v="37"/>
    <n v="8"/>
  </r>
  <r>
    <x v="13"/>
    <x v="48"/>
    <n v="8"/>
  </r>
  <r>
    <x v="13"/>
    <x v="31"/>
    <n v="8"/>
  </r>
  <r>
    <x v="13"/>
    <x v="25"/>
    <n v="16"/>
  </r>
  <r>
    <x v="13"/>
    <x v="8"/>
    <n v="4"/>
  </r>
  <r>
    <x v="13"/>
    <x v="27"/>
    <n v="8"/>
  </r>
  <r>
    <x v="13"/>
    <x v="43"/>
    <n v="8"/>
  </r>
  <r>
    <x v="13"/>
    <x v="16"/>
    <n v="3"/>
  </r>
  <r>
    <x v="13"/>
    <x v="28"/>
    <n v="8"/>
  </r>
  <r>
    <x v="13"/>
    <x v="23"/>
    <n v="8"/>
  </r>
  <r>
    <x v="13"/>
    <x v="10"/>
    <n v="8"/>
  </r>
  <r>
    <x v="13"/>
    <x v="36"/>
    <n v="8"/>
  </r>
  <r>
    <x v="13"/>
    <x v="21"/>
    <n v="8"/>
  </r>
  <r>
    <x v="13"/>
    <x v="44"/>
    <n v="6"/>
  </r>
  <r>
    <x v="13"/>
    <x v="29"/>
    <n v="16"/>
  </r>
  <r>
    <x v="13"/>
    <x v="45"/>
    <n v="8"/>
  </r>
  <r>
    <x v="13"/>
    <x v="46"/>
    <n v="8"/>
  </r>
  <r>
    <x v="13"/>
    <x v="47"/>
    <n v="8"/>
  </r>
  <r>
    <x v="13"/>
    <x v="22"/>
    <n v="16"/>
  </r>
  <r>
    <x v="13"/>
    <x v="26"/>
    <n v="8"/>
  </r>
  <r>
    <x v="13"/>
    <x v="41"/>
    <n v="4"/>
  </r>
  <r>
    <x v="13"/>
    <x v="37"/>
    <n v="8"/>
  </r>
  <r>
    <x v="13"/>
    <x v="48"/>
    <n v="8"/>
  </r>
  <r>
    <x v="13"/>
    <x v="31"/>
    <n v="8"/>
  </r>
  <r>
    <x v="13"/>
    <x v="25"/>
    <n v="16"/>
  </r>
  <r>
    <x v="13"/>
    <x v="8"/>
    <n v="4"/>
  </r>
  <r>
    <x v="13"/>
    <x v="27"/>
    <n v="4"/>
  </r>
  <r>
    <x v="13"/>
    <x v="43"/>
    <n v="8"/>
  </r>
  <r>
    <x v="13"/>
    <x v="16"/>
    <n v="2"/>
  </r>
  <r>
    <x v="13"/>
    <x v="28"/>
    <n v="8"/>
  </r>
  <r>
    <x v="13"/>
    <x v="23"/>
    <n v="4"/>
  </r>
  <r>
    <x v="13"/>
    <x v="10"/>
    <n v="8"/>
  </r>
  <r>
    <x v="13"/>
    <x v="36"/>
    <n v="8"/>
  </r>
  <r>
    <x v="13"/>
    <x v="21"/>
    <n v="8"/>
  </r>
  <r>
    <x v="13"/>
    <x v="44"/>
    <n v="6"/>
  </r>
  <r>
    <x v="13"/>
    <x v="29"/>
    <n v="16"/>
  </r>
  <r>
    <x v="13"/>
    <x v="45"/>
    <n v="8"/>
  </r>
  <r>
    <x v="13"/>
    <x v="46"/>
    <n v="8"/>
  </r>
  <r>
    <x v="13"/>
    <x v="47"/>
    <n v="8"/>
  </r>
  <r>
    <x v="13"/>
    <x v="30"/>
    <n v="8"/>
  </r>
  <r>
    <x v="13"/>
    <x v="22"/>
    <n v="16"/>
  </r>
  <r>
    <x v="13"/>
    <x v="26"/>
    <n v="8"/>
  </r>
  <r>
    <x v="13"/>
    <x v="41"/>
    <n v="4"/>
  </r>
  <r>
    <x v="13"/>
    <x v="37"/>
    <n v="8"/>
  </r>
  <r>
    <x v="13"/>
    <x v="31"/>
    <n v="8"/>
  </r>
  <r>
    <x v="13"/>
    <x v="25"/>
    <n v="16"/>
  </r>
  <r>
    <x v="13"/>
    <x v="8"/>
    <n v="4"/>
  </r>
  <r>
    <x v="13"/>
    <x v="43"/>
    <n v="8"/>
  </r>
  <r>
    <x v="13"/>
    <x v="16"/>
    <n v="5"/>
  </r>
  <r>
    <x v="13"/>
    <x v="28"/>
    <n v="8"/>
  </r>
  <r>
    <x v="13"/>
    <x v="10"/>
    <n v="8"/>
  </r>
  <r>
    <x v="13"/>
    <x v="36"/>
    <n v="8"/>
  </r>
  <r>
    <x v="13"/>
    <x v="21"/>
    <n v="8"/>
  </r>
  <r>
    <x v="13"/>
    <x v="44"/>
    <n v="7"/>
  </r>
  <r>
    <x v="13"/>
    <x v="29"/>
    <n v="16"/>
  </r>
  <r>
    <x v="13"/>
    <x v="45"/>
    <n v="8"/>
  </r>
  <r>
    <x v="13"/>
    <x v="46"/>
    <n v="8"/>
  </r>
  <r>
    <x v="13"/>
    <x v="47"/>
    <n v="8"/>
  </r>
  <r>
    <x v="13"/>
    <x v="30"/>
    <n v="8"/>
  </r>
  <r>
    <x v="13"/>
    <x v="22"/>
    <n v="16"/>
  </r>
  <r>
    <x v="13"/>
    <x v="26"/>
    <n v="8"/>
  </r>
  <r>
    <x v="13"/>
    <x v="41"/>
    <n v="4"/>
  </r>
  <r>
    <x v="13"/>
    <x v="37"/>
    <n v="8"/>
  </r>
  <r>
    <x v="13"/>
    <x v="48"/>
    <n v="8"/>
  </r>
  <r>
    <x v="13"/>
    <x v="31"/>
    <n v="8"/>
  </r>
  <r>
    <x v="13"/>
    <x v="25"/>
    <n v="16"/>
  </r>
  <r>
    <x v="13"/>
    <x v="8"/>
    <n v="4"/>
  </r>
  <r>
    <x v="13"/>
    <x v="43"/>
    <n v="8"/>
  </r>
  <r>
    <x v="13"/>
    <x v="28"/>
    <n v="8"/>
  </r>
  <r>
    <x v="13"/>
    <x v="10"/>
    <n v="8"/>
  </r>
  <r>
    <x v="13"/>
    <x v="36"/>
    <n v="8"/>
  </r>
  <r>
    <x v="13"/>
    <x v="44"/>
    <n v="7"/>
  </r>
  <r>
    <x v="13"/>
    <x v="29"/>
    <n v="16"/>
  </r>
  <r>
    <x v="13"/>
    <x v="47"/>
    <n v="8"/>
  </r>
  <r>
    <x v="13"/>
    <x v="22"/>
    <n v="16"/>
  </r>
  <r>
    <x v="13"/>
    <x v="26"/>
    <n v="8"/>
  </r>
  <r>
    <x v="13"/>
    <x v="41"/>
    <n v="4"/>
  </r>
  <r>
    <x v="13"/>
    <x v="37"/>
    <n v="8"/>
  </r>
  <r>
    <x v="13"/>
    <x v="48"/>
    <n v="8"/>
  </r>
  <r>
    <x v="13"/>
    <x v="31"/>
    <n v="8"/>
  </r>
  <r>
    <x v="13"/>
    <x v="25"/>
    <n v="16"/>
  </r>
  <r>
    <x v="14"/>
    <x v="12"/>
    <n v="8"/>
  </r>
  <r>
    <x v="14"/>
    <x v="16"/>
    <n v="3"/>
  </r>
  <r>
    <x v="14"/>
    <x v="12"/>
    <n v="8"/>
  </r>
  <r>
    <x v="14"/>
    <x v="8"/>
    <n v="4"/>
  </r>
  <r>
    <x v="14"/>
    <x v="27"/>
    <n v="8"/>
  </r>
  <r>
    <x v="14"/>
    <x v="16"/>
    <n v="3"/>
  </r>
  <r>
    <x v="14"/>
    <x v="28"/>
    <n v="8"/>
  </r>
  <r>
    <x v="14"/>
    <x v="10"/>
    <n v="8"/>
  </r>
  <r>
    <x v="14"/>
    <x v="36"/>
    <n v="8"/>
  </r>
  <r>
    <x v="14"/>
    <x v="21"/>
    <n v="8"/>
  </r>
  <r>
    <x v="14"/>
    <x v="44"/>
    <n v="6"/>
  </r>
  <r>
    <x v="14"/>
    <x v="29"/>
    <n v="16"/>
  </r>
  <r>
    <x v="14"/>
    <x v="45"/>
    <n v="8"/>
  </r>
  <r>
    <x v="14"/>
    <x v="46"/>
    <n v="8"/>
  </r>
  <r>
    <x v="14"/>
    <x v="47"/>
    <n v="8"/>
  </r>
  <r>
    <x v="14"/>
    <x v="22"/>
    <n v="16"/>
  </r>
  <r>
    <x v="14"/>
    <x v="26"/>
    <n v="8"/>
  </r>
  <r>
    <x v="14"/>
    <x v="37"/>
    <n v="8"/>
  </r>
  <r>
    <x v="14"/>
    <x v="48"/>
    <n v="8"/>
  </r>
  <r>
    <x v="14"/>
    <x v="31"/>
    <n v="8"/>
  </r>
  <r>
    <x v="14"/>
    <x v="25"/>
    <n v="16"/>
  </r>
  <r>
    <x v="14"/>
    <x v="12"/>
    <n v="8"/>
  </r>
  <r>
    <x v="14"/>
    <x v="8"/>
    <n v="4"/>
  </r>
  <r>
    <x v="14"/>
    <x v="27"/>
    <n v="8"/>
  </r>
  <r>
    <x v="14"/>
    <x v="16"/>
    <n v="3"/>
  </r>
  <r>
    <x v="14"/>
    <x v="28"/>
    <n v="8"/>
  </r>
  <r>
    <x v="14"/>
    <x v="23"/>
    <n v="8"/>
  </r>
  <r>
    <x v="14"/>
    <x v="10"/>
    <n v="8"/>
  </r>
  <r>
    <x v="14"/>
    <x v="36"/>
    <n v="8"/>
  </r>
  <r>
    <x v="14"/>
    <x v="21"/>
    <n v="8"/>
  </r>
  <r>
    <x v="14"/>
    <x v="44"/>
    <n v="6"/>
  </r>
  <r>
    <x v="14"/>
    <x v="29"/>
    <n v="16"/>
  </r>
  <r>
    <x v="14"/>
    <x v="45"/>
    <n v="8"/>
  </r>
  <r>
    <x v="14"/>
    <x v="46"/>
    <n v="8"/>
  </r>
  <r>
    <x v="14"/>
    <x v="47"/>
    <n v="8"/>
  </r>
  <r>
    <x v="14"/>
    <x v="22"/>
    <n v="16"/>
  </r>
  <r>
    <x v="14"/>
    <x v="26"/>
    <n v="8"/>
  </r>
  <r>
    <x v="14"/>
    <x v="37"/>
    <n v="8"/>
  </r>
  <r>
    <x v="14"/>
    <x v="48"/>
    <n v="8"/>
  </r>
  <r>
    <x v="14"/>
    <x v="31"/>
    <n v="8"/>
  </r>
  <r>
    <x v="14"/>
    <x v="25"/>
    <n v="16"/>
  </r>
  <r>
    <x v="14"/>
    <x v="12"/>
    <n v="8"/>
  </r>
  <r>
    <x v="14"/>
    <x v="8"/>
    <n v="4"/>
  </r>
  <r>
    <x v="14"/>
    <x v="27"/>
    <n v="4"/>
  </r>
  <r>
    <x v="14"/>
    <x v="16"/>
    <n v="2"/>
  </r>
  <r>
    <x v="14"/>
    <x v="28"/>
    <n v="8"/>
  </r>
  <r>
    <x v="14"/>
    <x v="23"/>
    <n v="8"/>
  </r>
  <r>
    <x v="14"/>
    <x v="10"/>
    <n v="8"/>
  </r>
  <r>
    <x v="14"/>
    <x v="36"/>
    <n v="8"/>
  </r>
  <r>
    <x v="14"/>
    <x v="21"/>
    <n v="8"/>
  </r>
  <r>
    <x v="14"/>
    <x v="44"/>
    <n v="6"/>
  </r>
  <r>
    <x v="14"/>
    <x v="29"/>
    <n v="16"/>
  </r>
  <r>
    <x v="14"/>
    <x v="45"/>
    <n v="8"/>
  </r>
  <r>
    <x v="14"/>
    <x v="46"/>
    <n v="8"/>
  </r>
  <r>
    <x v="14"/>
    <x v="47"/>
    <n v="8"/>
  </r>
  <r>
    <x v="14"/>
    <x v="30"/>
    <n v="8"/>
  </r>
  <r>
    <x v="14"/>
    <x v="22"/>
    <n v="16"/>
  </r>
  <r>
    <x v="14"/>
    <x v="26"/>
    <n v="8"/>
  </r>
  <r>
    <x v="14"/>
    <x v="37"/>
    <n v="8"/>
  </r>
  <r>
    <x v="14"/>
    <x v="31"/>
    <n v="8"/>
  </r>
  <r>
    <x v="14"/>
    <x v="25"/>
    <n v="16"/>
  </r>
  <r>
    <x v="14"/>
    <x v="12"/>
    <n v="8"/>
  </r>
  <r>
    <x v="14"/>
    <x v="8"/>
    <n v="4"/>
  </r>
  <r>
    <x v="14"/>
    <x v="16"/>
    <n v="5"/>
  </r>
  <r>
    <x v="14"/>
    <x v="28"/>
    <n v="8"/>
  </r>
  <r>
    <x v="14"/>
    <x v="23"/>
    <n v="4"/>
  </r>
  <r>
    <x v="14"/>
    <x v="10"/>
    <n v="8"/>
  </r>
  <r>
    <x v="14"/>
    <x v="36"/>
    <n v="8"/>
  </r>
  <r>
    <x v="14"/>
    <x v="21"/>
    <n v="8"/>
  </r>
  <r>
    <x v="14"/>
    <x v="44"/>
    <n v="7"/>
  </r>
  <r>
    <x v="14"/>
    <x v="29"/>
    <n v="16"/>
  </r>
  <r>
    <x v="14"/>
    <x v="45"/>
    <n v="8"/>
  </r>
  <r>
    <x v="14"/>
    <x v="46"/>
    <n v="8"/>
  </r>
  <r>
    <x v="14"/>
    <x v="47"/>
    <n v="8"/>
  </r>
  <r>
    <x v="14"/>
    <x v="30"/>
    <n v="8"/>
  </r>
  <r>
    <x v="14"/>
    <x v="22"/>
    <n v="16"/>
  </r>
  <r>
    <x v="14"/>
    <x v="26"/>
    <n v="8"/>
  </r>
  <r>
    <x v="14"/>
    <x v="37"/>
    <n v="8"/>
  </r>
  <r>
    <x v="14"/>
    <x v="48"/>
    <n v="8"/>
  </r>
  <r>
    <x v="14"/>
    <x v="31"/>
    <n v="8"/>
  </r>
  <r>
    <x v="14"/>
    <x v="25"/>
    <n v="16"/>
  </r>
  <r>
    <x v="14"/>
    <x v="8"/>
    <n v="4"/>
  </r>
  <r>
    <x v="14"/>
    <x v="28"/>
    <n v="8"/>
  </r>
  <r>
    <x v="14"/>
    <x v="10"/>
    <n v="8"/>
  </r>
  <r>
    <x v="14"/>
    <x v="36"/>
    <n v="8"/>
  </r>
  <r>
    <x v="14"/>
    <x v="44"/>
    <n v="7"/>
  </r>
  <r>
    <x v="14"/>
    <x v="29"/>
    <n v="16"/>
  </r>
  <r>
    <x v="14"/>
    <x v="47"/>
    <n v="8"/>
  </r>
  <r>
    <x v="14"/>
    <x v="22"/>
    <n v="16"/>
  </r>
  <r>
    <x v="14"/>
    <x v="26"/>
    <n v="8"/>
  </r>
  <r>
    <x v="14"/>
    <x v="37"/>
    <n v="8"/>
  </r>
  <r>
    <x v="14"/>
    <x v="48"/>
    <n v="8"/>
  </r>
  <r>
    <x v="14"/>
    <x v="31"/>
    <n v="8"/>
  </r>
  <r>
    <x v="14"/>
    <x v="25"/>
    <n v="16"/>
  </r>
  <r>
    <x v="15"/>
    <x v="16"/>
    <n v="8"/>
  </r>
  <r>
    <x v="15"/>
    <x v="8"/>
    <n v="4"/>
  </r>
  <r>
    <x v="15"/>
    <x v="27"/>
    <n v="8"/>
  </r>
  <r>
    <x v="15"/>
    <x v="16"/>
    <n v="8"/>
  </r>
  <r>
    <x v="15"/>
    <x v="28"/>
    <n v="8"/>
  </r>
  <r>
    <x v="15"/>
    <x v="10"/>
    <n v="8"/>
  </r>
  <r>
    <x v="15"/>
    <x v="36"/>
    <n v="8"/>
  </r>
  <r>
    <x v="15"/>
    <x v="21"/>
    <n v="8"/>
  </r>
  <r>
    <x v="15"/>
    <x v="44"/>
    <n v="6"/>
  </r>
  <r>
    <x v="15"/>
    <x v="29"/>
    <n v="16"/>
  </r>
  <r>
    <x v="15"/>
    <x v="45"/>
    <n v="8"/>
  </r>
  <r>
    <x v="15"/>
    <x v="46"/>
    <n v="8"/>
  </r>
  <r>
    <x v="15"/>
    <x v="47"/>
    <n v="8"/>
  </r>
  <r>
    <x v="15"/>
    <x v="22"/>
    <n v="16"/>
  </r>
  <r>
    <x v="15"/>
    <x v="26"/>
    <n v="8"/>
  </r>
  <r>
    <x v="15"/>
    <x v="37"/>
    <n v="8"/>
  </r>
  <r>
    <x v="15"/>
    <x v="48"/>
    <n v="8"/>
  </r>
  <r>
    <x v="15"/>
    <x v="31"/>
    <n v="8"/>
  </r>
  <r>
    <x v="15"/>
    <x v="25"/>
    <n v="16"/>
  </r>
  <r>
    <x v="15"/>
    <x v="8"/>
    <n v="4"/>
  </r>
  <r>
    <x v="15"/>
    <x v="27"/>
    <n v="8"/>
  </r>
  <r>
    <x v="15"/>
    <x v="16"/>
    <n v="8"/>
  </r>
  <r>
    <x v="15"/>
    <x v="28"/>
    <n v="8"/>
  </r>
  <r>
    <x v="15"/>
    <x v="23"/>
    <n v="8"/>
  </r>
  <r>
    <x v="15"/>
    <x v="10"/>
    <n v="8"/>
  </r>
  <r>
    <x v="15"/>
    <x v="36"/>
    <n v="8"/>
  </r>
  <r>
    <x v="15"/>
    <x v="21"/>
    <n v="8"/>
  </r>
  <r>
    <x v="15"/>
    <x v="44"/>
    <n v="6"/>
  </r>
  <r>
    <x v="15"/>
    <x v="29"/>
    <n v="16"/>
  </r>
  <r>
    <x v="15"/>
    <x v="45"/>
    <n v="8"/>
  </r>
  <r>
    <x v="15"/>
    <x v="46"/>
    <n v="8"/>
  </r>
  <r>
    <x v="15"/>
    <x v="47"/>
    <n v="8"/>
  </r>
  <r>
    <x v="15"/>
    <x v="22"/>
    <n v="16"/>
  </r>
  <r>
    <x v="15"/>
    <x v="26"/>
    <n v="8"/>
  </r>
  <r>
    <x v="15"/>
    <x v="37"/>
    <n v="8"/>
  </r>
  <r>
    <x v="15"/>
    <x v="48"/>
    <n v="8"/>
  </r>
  <r>
    <x v="15"/>
    <x v="31"/>
    <n v="8"/>
  </r>
  <r>
    <x v="15"/>
    <x v="25"/>
    <n v="16"/>
  </r>
  <r>
    <x v="15"/>
    <x v="8"/>
    <n v="4"/>
  </r>
  <r>
    <x v="15"/>
    <x v="27"/>
    <n v="4"/>
  </r>
  <r>
    <x v="15"/>
    <x v="16"/>
    <n v="8"/>
  </r>
  <r>
    <x v="15"/>
    <x v="28"/>
    <n v="8"/>
  </r>
  <r>
    <x v="15"/>
    <x v="23"/>
    <n v="8"/>
  </r>
  <r>
    <x v="15"/>
    <x v="10"/>
    <n v="8"/>
  </r>
  <r>
    <x v="15"/>
    <x v="36"/>
    <n v="8"/>
  </r>
  <r>
    <x v="15"/>
    <x v="21"/>
    <n v="8"/>
  </r>
  <r>
    <x v="15"/>
    <x v="44"/>
    <n v="6"/>
  </r>
  <r>
    <x v="15"/>
    <x v="29"/>
    <n v="16"/>
  </r>
  <r>
    <x v="15"/>
    <x v="45"/>
    <n v="8"/>
  </r>
  <r>
    <x v="15"/>
    <x v="46"/>
    <n v="8"/>
  </r>
  <r>
    <x v="15"/>
    <x v="47"/>
    <n v="8"/>
  </r>
  <r>
    <x v="15"/>
    <x v="30"/>
    <n v="8"/>
  </r>
  <r>
    <x v="15"/>
    <x v="22"/>
    <n v="16"/>
  </r>
  <r>
    <x v="15"/>
    <x v="26"/>
    <n v="8"/>
  </r>
  <r>
    <x v="15"/>
    <x v="37"/>
    <n v="8"/>
  </r>
  <r>
    <x v="15"/>
    <x v="31"/>
    <n v="8"/>
  </r>
  <r>
    <x v="15"/>
    <x v="25"/>
    <n v="16"/>
  </r>
  <r>
    <x v="15"/>
    <x v="8"/>
    <n v="4"/>
  </r>
  <r>
    <x v="15"/>
    <x v="16"/>
    <n v="8"/>
  </r>
  <r>
    <x v="15"/>
    <x v="28"/>
    <n v="8"/>
  </r>
  <r>
    <x v="15"/>
    <x v="23"/>
    <n v="4"/>
  </r>
  <r>
    <x v="15"/>
    <x v="10"/>
    <n v="8"/>
  </r>
  <r>
    <x v="15"/>
    <x v="36"/>
    <n v="8"/>
  </r>
  <r>
    <x v="15"/>
    <x v="21"/>
    <n v="8"/>
  </r>
  <r>
    <x v="15"/>
    <x v="44"/>
    <n v="7"/>
  </r>
  <r>
    <x v="15"/>
    <x v="29"/>
    <n v="16"/>
  </r>
  <r>
    <x v="15"/>
    <x v="45"/>
    <n v="8"/>
  </r>
  <r>
    <x v="15"/>
    <x v="46"/>
    <n v="8"/>
  </r>
  <r>
    <x v="15"/>
    <x v="47"/>
    <n v="8"/>
  </r>
  <r>
    <x v="15"/>
    <x v="30"/>
    <n v="8"/>
  </r>
  <r>
    <x v="15"/>
    <x v="22"/>
    <n v="16"/>
  </r>
  <r>
    <x v="15"/>
    <x v="26"/>
    <n v="8"/>
  </r>
  <r>
    <x v="15"/>
    <x v="37"/>
    <n v="8"/>
  </r>
  <r>
    <x v="15"/>
    <x v="48"/>
    <n v="8"/>
  </r>
  <r>
    <x v="15"/>
    <x v="31"/>
    <n v="8"/>
  </r>
  <r>
    <x v="15"/>
    <x v="25"/>
    <n v="16"/>
  </r>
  <r>
    <x v="15"/>
    <x v="8"/>
    <n v="4"/>
  </r>
  <r>
    <x v="15"/>
    <x v="28"/>
    <n v="8"/>
  </r>
  <r>
    <x v="15"/>
    <x v="10"/>
    <n v="8"/>
  </r>
  <r>
    <x v="15"/>
    <x v="36"/>
    <n v="8"/>
  </r>
  <r>
    <x v="15"/>
    <x v="44"/>
    <n v="7"/>
  </r>
  <r>
    <x v="15"/>
    <x v="29"/>
    <n v="16"/>
  </r>
  <r>
    <x v="15"/>
    <x v="47"/>
    <n v="8"/>
  </r>
  <r>
    <x v="15"/>
    <x v="22"/>
    <n v="16"/>
  </r>
  <r>
    <x v="15"/>
    <x v="26"/>
    <n v="8"/>
  </r>
  <r>
    <x v="15"/>
    <x v="37"/>
    <n v="8"/>
  </r>
  <r>
    <x v="15"/>
    <x v="48"/>
    <n v="8"/>
  </r>
  <r>
    <x v="15"/>
    <x v="31"/>
    <n v="8"/>
  </r>
  <r>
    <x v="15"/>
    <x v="25"/>
    <n v="16"/>
  </r>
  <r>
    <x v="16"/>
    <x v="35"/>
    <n v="8"/>
  </r>
  <r>
    <x v="16"/>
    <x v="16"/>
    <n v="8"/>
  </r>
  <r>
    <x v="16"/>
    <x v="8"/>
    <n v="4"/>
  </r>
  <r>
    <x v="16"/>
    <x v="27"/>
    <n v="8"/>
  </r>
  <r>
    <x v="16"/>
    <x v="16"/>
    <n v="8"/>
  </r>
  <r>
    <x v="16"/>
    <x v="28"/>
    <n v="8"/>
  </r>
  <r>
    <x v="16"/>
    <x v="23"/>
    <n v="8"/>
  </r>
  <r>
    <x v="16"/>
    <x v="10"/>
    <n v="8"/>
  </r>
  <r>
    <x v="16"/>
    <x v="36"/>
    <n v="8"/>
  </r>
  <r>
    <x v="16"/>
    <x v="21"/>
    <n v="8"/>
  </r>
  <r>
    <x v="16"/>
    <x v="44"/>
    <n v="3"/>
  </r>
  <r>
    <x v="16"/>
    <x v="29"/>
    <n v="16"/>
  </r>
  <r>
    <x v="16"/>
    <x v="45"/>
    <n v="8"/>
  </r>
  <r>
    <x v="16"/>
    <x v="46"/>
    <n v="8"/>
  </r>
  <r>
    <x v="16"/>
    <x v="47"/>
    <n v="8"/>
  </r>
  <r>
    <x v="16"/>
    <x v="22"/>
    <n v="16"/>
  </r>
  <r>
    <x v="16"/>
    <x v="26"/>
    <n v="8"/>
  </r>
  <r>
    <x v="16"/>
    <x v="37"/>
    <n v="8"/>
  </r>
  <r>
    <x v="16"/>
    <x v="48"/>
    <n v="8"/>
  </r>
  <r>
    <x v="16"/>
    <x v="31"/>
    <n v="8"/>
  </r>
  <r>
    <x v="16"/>
    <x v="25"/>
    <n v="16"/>
  </r>
  <r>
    <x v="16"/>
    <x v="8"/>
    <n v="4"/>
  </r>
  <r>
    <x v="16"/>
    <x v="27"/>
    <n v="8"/>
  </r>
  <r>
    <x v="16"/>
    <x v="16"/>
    <n v="8"/>
  </r>
  <r>
    <x v="16"/>
    <x v="28"/>
    <n v="8"/>
  </r>
  <r>
    <x v="16"/>
    <x v="23"/>
    <n v="8"/>
  </r>
  <r>
    <x v="16"/>
    <x v="10"/>
    <n v="8"/>
  </r>
  <r>
    <x v="16"/>
    <x v="36"/>
    <n v="8"/>
  </r>
  <r>
    <x v="16"/>
    <x v="21"/>
    <n v="8"/>
  </r>
  <r>
    <x v="16"/>
    <x v="44"/>
    <n v="3"/>
  </r>
  <r>
    <x v="16"/>
    <x v="29"/>
    <n v="16"/>
  </r>
  <r>
    <x v="16"/>
    <x v="45"/>
    <n v="8"/>
  </r>
  <r>
    <x v="16"/>
    <x v="46"/>
    <n v="8"/>
  </r>
  <r>
    <x v="16"/>
    <x v="47"/>
    <n v="8"/>
  </r>
  <r>
    <x v="16"/>
    <x v="22"/>
    <n v="16"/>
  </r>
  <r>
    <x v="16"/>
    <x v="26"/>
    <n v="8"/>
  </r>
  <r>
    <x v="16"/>
    <x v="37"/>
    <n v="8"/>
  </r>
  <r>
    <x v="16"/>
    <x v="48"/>
    <n v="8"/>
  </r>
  <r>
    <x v="16"/>
    <x v="31"/>
    <n v="8"/>
  </r>
  <r>
    <x v="16"/>
    <x v="25"/>
    <n v="16"/>
  </r>
  <r>
    <x v="16"/>
    <x v="8"/>
    <n v="4"/>
  </r>
  <r>
    <x v="16"/>
    <x v="27"/>
    <n v="6"/>
  </r>
  <r>
    <x v="16"/>
    <x v="16"/>
    <n v="8"/>
  </r>
  <r>
    <x v="16"/>
    <x v="28"/>
    <n v="8"/>
  </r>
  <r>
    <x v="16"/>
    <x v="23"/>
    <n v="4"/>
  </r>
  <r>
    <x v="16"/>
    <x v="10"/>
    <n v="8"/>
  </r>
  <r>
    <x v="16"/>
    <x v="36"/>
    <n v="8"/>
  </r>
  <r>
    <x v="16"/>
    <x v="44"/>
    <n v="3"/>
  </r>
  <r>
    <x v="16"/>
    <x v="29"/>
    <n v="16"/>
  </r>
  <r>
    <x v="16"/>
    <x v="45"/>
    <n v="8"/>
  </r>
  <r>
    <x v="16"/>
    <x v="35"/>
    <n v="8"/>
  </r>
  <r>
    <x v="16"/>
    <x v="46"/>
    <n v="8"/>
  </r>
  <r>
    <x v="16"/>
    <x v="47"/>
    <n v="8"/>
  </r>
  <r>
    <x v="16"/>
    <x v="30"/>
    <n v="8"/>
  </r>
  <r>
    <x v="16"/>
    <x v="22"/>
    <n v="16"/>
  </r>
  <r>
    <x v="16"/>
    <x v="26"/>
    <n v="8"/>
  </r>
  <r>
    <x v="16"/>
    <x v="37"/>
    <n v="8"/>
  </r>
  <r>
    <x v="16"/>
    <x v="48"/>
    <n v="8"/>
  </r>
  <r>
    <x v="16"/>
    <x v="31"/>
    <n v="8"/>
  </r>
  <r>
    <x v="16"/>
    <x v="25"/>
    <n v="16"/>
  </r>
  <r>
    <x v="16"/>
    <x v="8"/>
    <n v="4"/>
  </r>
  <r>
    <x v="16"/>
    <x v="27"/>
    <n v="8"/>
  </r>
  <r>
    <x v="16"/>
    <x v="16"/>
    <n v="8"/>
  </r>
  <r>
    <x v="16"/>
    <x v="28"/>
    <n v="8"/>
  </r>
  <r>
    <x v="16"/>
    <x v="10"/>
    <n v="8"/>
  </r>
  <r>
    <x v="16"/>
    <x v="36"/>
    <n v="8"/>
  </r>
  <r>
    <x v="16"/>
    <x v="44"/>
    <n v="3"/>
  </r>
  <r>
    <x v="16"/>
    <x v="29"/>
    <n v="16"/>
  </r>
  <r>
    <x v="16"/>
    <x v="45"/>
    <n v="8"/>
  </r>
  <r>
    <x v="16"/>
    <x v="35"/>
    <n v="8"/>
  </r>
  <r>
    <x v="16"/>
    <x v="46"/>
    <n v="8"/>
  </r>
  <r>
    <x v="16"/>
    <x v="47"/>
    <n v="8"/>
  </r>
  <r>
    <x v="16"/>
    <x v="30"/>
    <n v="8"/>
  </r>
  <r>
    <x v="16"/>
    <x v="22"/>
    <n v="16"/>
  </r>
  <r>
    <x v="16"/>
    <x v="26"/>
    <n v="8"/>
  </r>
  <r>
    <x v="16"/>
    <x v="37"/>
    <n v="8"/>
  </r>
  <r>
    <x v="16"/>
    <x v="31"/>
    <n v="8"/>
  </r>
  <r>
    <x v="16"/>
    <x v="25"/>
    <n v="16"/>
  </r>
  <r>
    <x v="16"/>
    <x v="8"/>
    <n v="4"/>
  </r>
  <r>
    <x v="16"/>
    <x v="27"/>
    <n v="8"/>
  </r>
  <r>
    <x v="16"/>
    <x v="28"/>
    <n v="8"/>
  </r>
  <r>
    <x v="16"/>
    <x v="10"/>
    <n v="8"/>
  </r>
  <r>
    <x v="16"/>
    <x v="36"/>
    <n v="8"/>
  </r>
  <r>
    <x v="16"/>
    <x v="44"/>
    <n v="4"/>
  </r>
  <r>
    <x v="16"/>
    <x v="29"/>
    <n v="16"/>
  </r>
  <r>
    <x v="16"/>
    <x v="47"/>
    <n v="8"/>
  </r>
  <r>
    <x v="16"/>
    <x v="22"/>
    <n v="16"/>
  </r>
  <r>
    <x v="16"/>
    <x v="26"/>
    <n v="8"/>
  </r>
  <r>
    <x v="16"/>
    <x v="37"/>
    <n v="8"/>
  </r>
  <r>
    <x v="16"/>
    <x v="31"/>
    <n v="8"/>
  </r>
  <r>
    <x v="16"/>
    <x v="25"/>
    <n v="16"/>
  </r>
  <r>
    <x v="17"/>
    <x v="36"/>
    <n v="8"/>
  </r>
  <r>
    <x v="17"/>
    <x v="26"/>
    <n v="8"/>
  </r>
  <r>
    <x v="17"/>
    <x v="37"/>
    <n v="8"/>
  </r>
  <r>
    <x v="17"/>
    <x v="31"/>
    <n v="8"/>
  </r>
  <r>
    <x v="17"/>
    <x v="49"/>
    <n v="8"/>
  </r>
  <r>
    <x v="17"/>
    <x v="25"/>
    <n v="8"/>
  </r>
  <r>
    <x v="17"/>
    <x v="36"/>
    <n v="8"/>
  </r>
  <r>
    <x v="17"/>
    <x v="29"/>
    <n v="8"/>
  </r>
  <r>
    <x v="17"/>
    <x v="26"/>
    <n v="8"/>
  </r>
  <r>
    <x v="17"/>
    <x v="37"/>
    <n v="8"/>
  </r>
  <r>
    <x v="17"/>
    <x v="31"/>
    <n v="8"/>
  </r>
  <r>
    <x v="17"/>
    <x v="49"/>
    <n v="8"/>
  </r>
  <r>
    <x v="17"/>
    <x v="25"/>
    <n v="6"/>
  </r>
  <r>
    <x v="17"/>
    <x v="36"/>
    <n v="8"/>
  </r>
  <r>
    <x v="17"/>
    <x v="29"/>
    <n v="8"/>
  </r>
  <r>
    <x v="17"/>
    <x v="22"/>
    <n v="6"/>
  </r>
  <r>
    <x v="17"/>
    <x v="26"/>
    <n v="1"/>
  </r>
  <r>
    <x v="17"/>
    <x v="37"/>
    <n v="8"/>
  </r>
  <r>
    <x v="17"/>
    <x v="31"/>
    <n v="8"/>
  </r>
  <r>
    <x v="17"/>
    <x v="49"/>
    <n v="8"/>
  </r>
  <r>
    <x v="17"/>
    <x v="25"/>
    <n v="8"/>
  </r>
  <r>
    <x v="17"/>
    <x v="36"/>
    <n v="8"/>
  </r>
  <r>
    <x v="17"/>
    <x v="29"/>
    <n v="6"/>
  </r>
  <r>
    <x v="17"/>
    <x v="22"/>
    <n v="8"/>
  </r>
  <r>
    <x v="17"/>
    <x v="37"/>
    <n v="8"/>
  </r>
  <r>
    <x v="17"/>
    <x v="31"/>
    <n v="8"/>
  </r>
  <r>
    <x v="17"/>
    <x v="49"/>
    <n v="8"/>
  </r>
  <r>
    <x v="17"/>
    <x v="36"/>
    <n v="8"/>
  </r>
  <r>
    <x v="17"/>
    <x v="22"/>
    <n v="8"/>
  </r>
  <r>
    <x v="17"/>
    <x v="37"/>
    <n v="8"/>
  </r>
  <r>
    <x v="17"/>
    <x v="31"/>
    <n v="8"/>
  </r>
  <r>
    <x v="17"/>
    <x v="49"/>
    <n v="8"/>
  </r>
  <r>
    <x v="18"/>
    <x v="36"/>
    <n v="8"/>
  </r>
  <r>
    <x v="18"/>
    <x v="26"/>
    <n v="8"/>
  </r>
  <r>
    <x v="18"/>
    <x v="37"/>
    <n v="8"/>
  </r>
  <r>
    <x v="18"/>
    <x v="31"/>
    <n v="8"/>
  </r>
  <r>
    <x v="18"/>
    <x v="49"/>
    <n v="8"/>
  </r>
  <r>
    <x v="18"/>
    <x v="25"/>
    <n v="7"/>
  </r>
  <r>
    <x v="18"/>
    <x v="36"/>
    <n v="8"/>
  </r>
  <r>
    <x v="18"/>
    <x v="26"/>
    <n v="8"/>
  </r>
  <r>
    <x v="18"/>
    <x v="37"/>
    <n v="8"/>
  </r>
  <r>
    <x v="18"/>
    <x v="31"/>
    <n v="8"/>
  </r>
  <r>
    <x v="18"/>
    <x v="49"/>
    <n v="8"/>
  </r>
  <r>
    <x v="18"/>
    <x v="36"/>
    <n v="8"/>
  </r>
  <r>
    <x v="18"/>
    <x v="26"/>
    <n v="5"/>
  </r>
  <r>
    <x v="18"/>
    <x v="37"/>
    <n v="8"/>
  </r>
  <r>
    <x v="18"/>
    <x v="31"/>
    <n v="8"/>
  </r>
  <r>
    <x v="18"/>
    <x v="49"/>
    <n v="8"/>
  </r>
  <r>
    <x v="18"/>
    <x v="36"/>
    <n v="8"/>
  </r>
  <r>
    <x v="18"/>
    <x v="29"/>
    <n v="7"/>
  </r>
  <r>
    <x v="18"/>
    <x v="37"/>
    <n v="8"/>
  </r>
  <r>
    <x v="18"/>
    <x v="31"/>
    <n v="8"/>
  </r>
  <r>
    <x v="18"/>
    <x v="49"/>
    <n v="8"/>
  </r>
  <r>
    <x v="18"/>
    <x v="36"/>
    <n v="8"/>
  </r>
  <r>
    <x v="18"/>
    <x v="22"/>
    <n v="7"/>
  </r>
  <r>
    <x v="18"/>
    <x v="37"/>
    <n v="8"/>
  </r>
  <r>
    <x v="18"/>
    <x v="31"/>
    <n v="8"/>
  </r>
  <r>
    <x v="18"/>
    <x v="49"/>
    <n v="8"/>
  </r>
  <r>
    <x v="19"/>
    <x v="26"/>
    <n v="8"/>
  </r>
  <r>
    <x v="19"/>
    <x v="36"/>
    <n v="8"/>
  </r>
  <r>
    <x v="19"/>
    <x v="26"/>
    <n v="8"/>
  </r>
  <r>
    <x v="19"/>
    <x v="37"/>
    <n v="8"/>
  </r>
  <r>
    <x v="19"/>
    <x v="31"/>
    <n v="8"/>
  </r>
  <r>
    <x v="19"/>
    <x v="36"/>
    <n v="8"/>
  </r>
  <r>
    <x v="19"/>
    <x v="26"/>
    <n v="5"/>
  </r>
  <r>
    <x v="19"/>
    <x v="37"/>
    <n v="8"/>
  </r>
  <r>
    <x v="19"/>
    <x v="31"/>
    <n v="8"/>
  </r>
  <r>
    <x v="19"/>
    <x v="36"/>
    <n v="8"/>
  </r>
  <r>
    <x v="19"/>
    <x v="29"/>
    <n v="8"/>
  </r>
  <r>
    <x v="19"/>
    <x v="37"/>
    <n v="8"/>
  </r>
  <r>
    <x v="19"/>
    <x v="31"/>
    <n v="8"/>
  </r>
  <r>
    <x v="19"/>
    <x v="25"/>
    <n v="8"/>
  </r>
  <r>
    <x v="19"/>
    <x v="36"/>
    <n v="8"/>
  </r>
  <r>
    <x v="19"/>
    <x v="29"/>
    <n v="7"/>
  </r>
  <r>
    <x v="19"/>
    <x v="22"/>
    <n v="7"/>
  </r>
  <r>
    <x v="19"/>
    <x v="37"/>
    <n v="8"/>
  </r>
  <r>
    <x v="19"/>
    <x v="31"/>
    <n v="8"/>
  </r>
  <r>
    <x v="19"/>
    <x v="25"/>
    <n v="7"/>
  </r>
  <r>
    <x v="19"/>
    <x v="36"/>
    <n v="8"/>
  </r>
  <r>
    <x v="19"/>
    <x v="22"/>
    <n v="8"/>
  </r>
  <r>
    <x v="19"/>
    <x v="37"/>
    <n v="8"/>
  </r>
  <r>
    <x v="19"/>
    <x v="31"/>
    <n v="8"/>
  </r>
  <r>
    <x v="20"/>
    <x v="38"/>
    <n v="8"/>
  </r>
  <r>
    <x v="20"/>
    <x v="26"/>
    <n v="8"/>
  </r>
  <r>
    <x v="20"/>
    <x v="36"/>
    <n v="8"/>
  </r>
  <r>
    <x v="20"/>
    <x v="38"/>
    <n v="8"/>
  </r>
  <r>
    <x v="20"/>
    <x v="22"/>
    <n v="8"/>
  </r>
  <r>
    <x v="20"/>
    <x v="26"/>
    <n v="8"/>
  </r>
  <r>
    <x v="20"/>
    <x v="37"/>
    <n v="8"/>
  </r>
  <r>
    <x v="20"/>
    <x v="31"/>
    <n v="8"/>
  </r>
  <r>
    <x v="20"/>
    <x v="36"/>
    <n v="8"/>
  </r>
  <r>
    <x v="20"/>
    <x v="38"/>
    <n v="8"/>
  </r>
  <r>
    <x v="20"/>
    <x v="22"/>
    <n v="7"/>
  </r>
  <r>
    <x v="20"/>
    <x v="26"/>
    <n v="8"/>
  </r>
  <r>
    <x v="20"/>
    <x v="37"/>
    <n v="8"/>
  </r>
  <r>
    <x v="20"/>
    <x v="31"/>
    <n v="8"/>
  </r>
  <r>
    <x v="20"/>
    <x v="36"/>
    <n v="8"/>
  </r>
  <r>
    <x v="20"/>
    <x v="29"/>
    <n v="10"/>
  </r>
  <r>
    <x v="20"/>
    <x v="38"/>
    <n v="8"/>
  </r>
  <r>
    <x v="20"/>
    <x v="26"/>
    <n v="1"/>
  </r>
  <r>
    <x v="20"/>
    <x v="37"/>
    <n v="8"/>
  </r>
  <r>
    <x v="20"/>
    <x v="31"/>
    <n v="8"/>
  </r>
  <r>
    <x v="20"/>
    <x v="25"/>
    <n v="8"/>
  </r>
  <r>
    <x v="20"/>
    <x v="29"/>
    <n v="10"/>
  </r>
  <r>
    <x v="20"/>
    <x v="38"/>
    <n v="8"/>
  </r>
  <r>
    <x v="20"/>
    <x v="26"/>
    <n v="5"/>
  </r>
  <r>
    <x v="20"/>
    <x v="25"/>
    <n v="7"/>
  </r>
  <r>
    <x v="20"/>
    <x v="36"/>
    <n v="8"/>
  </r>
  <r>
    <x v="20"/>
    <x v="29"/>
    <n v="11"/>
  </r>
  <r>
    <x v="20"/>
    <x v="37"/>
    <n v="8"/>
  </r>
  <r>
    <x v="20"/>
    <x v="31"/>
    <n v="8"/>
  </r>
  <r>
    <x v="21"/>
    <x v="26"/>
    <n v="8"/>
  </r>
  <r>
    <x v="21"/>
    <x v="26"/>
    <n v="8"/>
  </r>
  <r>
    <x v="21"/>
    <x v="39"/>
    <n v="8"/>
  </r>
  <r>
    <x v="21"/>
    <x v="36"/>
    <n v="8"/>
  </r>
  <r>
    <x v="21"/>
    <x v="37"/>
    <n v="8"/>
  </r>
  <r>
    <x v="21"/>
    <x v="31"/>
    <n v="8"/>
  </r>
  <r>
    <x v="21"/>
    <x v="39"/>
    <n v="8"/>
  </r>
  <r>
    <x v="21"/>
    <x v="36"/>
    <n v="8"/>
  </r>
  <r>
    <x v="21"/>
    <x v="26"/>
    <n v="6"/>
  </r>
  <r>
    <x v="21"/>
    <x v="37"/>
    <n v="8"/>
  </r>
  <r>
    <x v="21"/>
    <x v="31"/>
    <n v="8"/>
  </r>
  <r>
    <x v="21"/>
    <x v="39"/>
    <n v="8"/>
  </r>
  <r>
    <x v="21"/>
    <x v="36"/>
    <n v="8"/>
  </r>
  <r>
    <x v="21"/>
    <x v="29"/>
    <n v="10"/>
  </r>
  <r>
    <x v="21"/>
    <x v="26"/>
    <n v="8"/>
  </r>
  <r>
    <x v="21"/>
    <x v="37"/>
    <n v="8"/>
  </r>
  <r>
    <x v="21"/>
    <x v="31"/>
    <n v="8"/>
  </r>
  <r>
    <x v="21"/>
    <x v="25"/>
    <n v="4"/>
  </r>
  <r>
    <x v="21"/>
    <x v="39"/>
    <n v="8"/>
  </r>
  <r>
    <x v="21"/>
    <x v="29"/>
    <n v="10"/>
  </r>
  <r>
    <x v="21"/>
    <x v="22"/>
    <n v="10"/>
  </r>
  <r>
    <x v="21"/>
    <x v="26"/>
    <n v="8"/>
  </r>
  <r>
    <x v="21"/>
    <x v="25"/>
    <n v="8"/>
  </r>
  <r>
    <x v="21"/>
    <x v="39"/>
    <n v="8"/>
  </r>
  <r>
    <x v="21"/>
    <x v="36"/>
    <n v="8"/>
  </r>
  <r>
    <x v="21"/>
    <x v="29"/>
    <n v="10"/>
  </r>
  <r>
    <x v="21"/>
    <x v="22"/>
    <n v="10"/>
  </r>
  <r>
    <x v="21"/>
    <x v="26"/>
    <n v="2"/>
  </r>
  <r>
    <x v="21"/>
    <x v="37"/>
    <n v="8"/>
  </r>
  <r>
    <x v="21"/>
    <x v="31"/>
    <n v="8"/>
  </r>
  <r>
    <x v="21"/>
    <x v="25"/>
    <n v="8"/>
  </r>
  <r>
    <x v="22"/>
    <x v="26"/>
    <n v="8"/>
  </r>
  <r>
    <x v="22"/>
    <x v="26"/>
    <n v="8"/>
  </r>
  <r>
    <x v="22"/>
    <x v="39"/>
    <n v="8"/>
  </r>
  <r>
    <x v="22"/>
    <x v="36"/>
    <n v="8"/>
  </r>
  <r>
    <x v="22"/>
    <x v="37"/>
    <n v="8"/>
  </r>
  <r>
    <x v="22"/>
    <x v="31"/>
    <n v="8"/>
  </r>
  <r>
    <x v="22"/>
    <x v="25"/>
    <n v="8"/>
  </r>
  <r>
    <x v="22"/>
    <x v="39"/>
    <n v="8"/>
  </r>
  <r>
    <x v="22"/>
    <x v="36"/>
    <n v="8"/>
  </r>
  <r>
    <x v="22"/>
    <x v="38"/>
    <n v="16"/>
  </r>
  <r>
    <x v="22"/>
    <x v="26"/>
    <n v="6"/>
  </r>
  <r>
    <x v="22"/>
    <x v="37"/>
    <n v="8"/>
  </r>
  <r>
    <x v="22"/>
    <x v="31"/>
    <n v="8"/>
  </r>
  <r>
    <x v="22"/>
    <x v="25"/>
    <n v="8"/>
  </r>
  <r>
    <x v="22"/>
    <x v="39"/>
    <n v="8"/>
  </r>
  <r>
    <x v="22"/>
    <x v="36"/>
    <n v="8"/>
  </r>
  <r>
    <x v="22"/>
    <x v="29"/>
    <n v="10"/>
  </r>
  <r>
    <x v="22"/>
    <x v="26"/>
    <n v="8"/>
  </r>
  <r>
    <x v="22"/>
    <x v="37"/>
    <n v="8"/>
  </r>
  <r>
    <x v="22"/>
    <x v="31"/>
    <n v="8"/>
  </r>
  <r>
    <x v="22"/>
    <x v="25"/>
    <n v="8"/>
  </r>
  <r>
    <x v="22"/>
    <x v="39"/>
    <n v="8"/>
  </r>
  <r>
    <x v="22"/>
    <x v="36"/>
    <n v="8"/>
  </r>
  <r>
    <x v="22"/>
    <x v="29"/>
    <n v="10"/>
  </r>
  <r>
    <x v="22"/>
    <x v="38"/>
    <n v="16"/>
  </r>
  <r>
    <x v="22"/>
    <x v="22"/>
    <n v="10"/>
  </r>
  <r>
    <x v="22"/>
    <x v="26"/>
    <n v="8"/>
  </r>
  <r>
    <x v="22"/>
    <x v="37"/>
    <n v="8"/>
  </r>
  <r>
    <x v="22"/>
    <x v="31"/>
    <n v="8"/>
  </r>
  <r>
    <x v="22"/>
    <x v="25"/>
    <n v="8"/>
  </r>
  <r>
    <x v="22"/>
    <x v="39"/>
    <n v="8"/>
  </r>
  <r>
    <x v="22"/>
    <x v="36"/>
    <n v="8"/>
  </r>
  <r>
    <x v="22"/>
    <x v="29"/>
    <n v="10"/>
  </r>
  <r>
    <x v="22"/>
    <x v="38"/>
    <n v="16"/>
  </r>
  <r>
    <x v="22"/>
    <x v="22"/>
    <n v="10"/>
  </r>
  <r>
    <x v="22"/>
    <x v="26"/>
    <n v="2"/>
  </r>
  <r>
    <x v="22"/>
    <x v="37"/>
    <n v="8"/>
  </r>
  <r>
    <x v="22"/>
    <x v="31"/>
    <n v="8"/>
  </r>
  <r>
    <x v="22"/>
    <x v="25"/>
    <n v="8"/>
  </r>
  <r>
    <x v="23"/>
    <x v="26"/>
    <n v="8"/>
  </r>
  <r>
    <x v="23"/>
    <x v="26"/>
    <n v="8"/>
  </r>
  <r>
    <x v="23"/>
    <x v="39"/>
    <n v="8"/>
  </r>
  <r>
    <x v="23"/>
    <x v="36"/>
    <n v="8"/>
  </r>
  <r>
    <x v="23"/>
    <x v="37"/>
    <n v="8"/>
  </r>
  <r>
    <x v="23"/>
    <x v="31"/>
    <n v="8"/>
  </r>
  <r>
    <x v="23"/>
    <x v="25"/>
    <n v="8"/>
  </r>
  <r>
    <x v="23"/>
    <x v="39"/>
    <n v="8"/>
  </r>
  <r>
    <x v="23"/>
    <x v="36"/>
    <n v="8"/>
  </r>
  <r>
    <x v="23"/>
    <x v="26"/>
    <n v="6"/>
  </r>
  <r>
    <x v="23"/>
    <x v="37"/>
    <n v="8"/>
  </r>
  <r>
    <x v="23"/>
    <x v="31"/>
    <n v="8"/>
  </r>
  <r>
    <x v="23"/>
    <x v="25"/>
    <n v="8"/>
  </r>
  <r>
    <x v="23"/>
    <x v="39"/>
    <n v="8"/>
  </r>
  <r>
    <x v="23"/>
    <x v="36"/>
    <n v="8"/>
  </r>
  <r>
    <x v="23"/>
    <x v="29"/>
    <n v="10"/>
  </r>
  <r>
    <x v="23"/>
    <x v="26"/>
    <n v="8"/>
  </r>
  <r>
    <x v="23"/>
    <x v="37"/>
    <n v="8"/>
  </r>
  <r>
    <x v="23"/>
    <x v="31"/>
    <n v="8"/>
  </r>
  <r>
    <x v="23"/>
    <x v="25"/>
    <n v="8"/>
  </r>
  <r>
    <x v="23"/>
    <x v="39"/>
    <n v="8"/>
  </r>
  <r>
    <x v="23"/>
    <x v="36"/>
    <n v="8"/>
  </r>
  <r>
    <x v="23"/>
    <x v="29"/>
    <n v="10"/>
  </r>
  <r>
    <x v="23"/>
    <x v="22"/>
    <n v="10"/>
  </r>
  <r>
    <x v="23"/>
    <x v="26"/>
    <n v="8"/>
  </r>
  <r>
    <x v="23"/>
    <x v="37"/>
    <n v="8"/>
  </r>
  <r>
    <x v="23"/>
    <x v="25"/>
    <n v="8"/>
  </r>
  <r>
    <x v="23"/>
    <x v="39"/>
    <n v="8"/>
  </r>
  <r>
    <x v="23"/>
    <x v="36"/>
    <n v="8"/>
  </r>
  <r>
    <x v="23"/>
    <x v="29"/>
    <n v="10"/>
  </r>
  <r>
    <x v="23"/>
    <x v="22"/>
    <n v="10"/>
  </r>
  <r>
    <x v="23"/>
    <x v="26"/>
    <n v="2"/>
  </r>
  <r>
    <x v="23"/>
    <x v="37"/>
    <n v="8"/>
  </r>
  <r>
    <x v="23"/>
    <x v="19"/>
    <n v="8"/>
  </r>
  <r>
    <x v="23"/>
    <x v="31"/>
    <n v="8"/>
  </r>
  <r>
    <x v="23"/>
    <x v="25"/>
    <n v="8"/>
  </r>
  <r>
    <x v="24"/>
    <x v="26"/>
    <n v="8"/>
  </r>
  <r>
    <x v="24"/>
    <x v="38"/>
    <n v="8"/>
  </r>
  <r>
    <x v="24"/>
    <x v="26"/>
    <n v="8"/>
  </r>
  <r>
    <x v="24"/>
    <x v="39"/>
    <n v="8"/>
  </r>
  <r>
    <x v="24"/>
    <x v="36"/>
    <n v="8"/>
  </r>
  <r>
    <x v="24"/>
    <x v="38"/>
    <n v="8"/>
  </r>
  <r>
    <x v="24"/>
    <x v="37"/>
    <n v="8"/>
  </r>
  <r>
    <x v="24"/>
    <x v="31"/>
    <n v="8"/>
  </r>
  <r>
    <x v="24"/>
    <x v="25"/>
    <n v="8"/>
  </r>
  <r>
    <x v="24"/>
    <x v="39"/>
    <n v="8"/>
  </r>
  <r>
    <x v="24"/>
    <x v="36"/>
    <n v="8"/>
  </r>
  <r>
    <x v="24"/>
    <x v="38"/>
    <n v="8"/>
  </r>
  <r>
    <x v="24"/>
    <x v="26"/>
    <n v="6"/>
  </r>
  <r>
    <x v="24"/>
    <x v="37"/>
    <n v="8"/>
  </r>
  <r>
    <x v="24"/>
    <x v="31"/>
    <n v="8"/>
  </r>
  <r>
    <x v="24"/>
    <x v="25"/>
    <n v="8"/>
  </r>
  <r>
    <x v="24"/>
    <x v="39"/>
    <n v="8"/>
  </r>
  <r>
    <x v="24"/>
    <x v="36"/>
    <n v="8"/>
  </r>
  <r>
    <x v="24"/>
    <x v="29"/>
    <n v="10"/>
  </r>
  <r>
    <x v="24"/>
    <x v="38"/>
    <n v="8"/>
  </r>
  <r>
    <x v="24"/>
    <x v="26"/>
    <n v="8"/>
  </r>
  <r>
    <x v="24"/>
    <x v="37"/>
    <n v="8"/>
  </r>
  <r>
    <x v="24"/>
    <x v="31"/>
    <n v="8"/>
  </r>
  <r>
    <x v="24"/>
    <x v="25"/>
    <n v="8"/>
  </r>
  <r>
    <x v="24"/>
    <x v="39"/>
    <n v="8"/>
  </r>
  <r>
    <x v="24"/>
    <x v="36"/>
    <n v="8"/>
  </r>
  <r>
    <x v="24"/>
    <x v="29"/>
    <n v="10"/>
  </r>
  <r>
    <x v="24"/>
    <x v="38"/>
    <n v="8"/>
  </r>
  <r>
    <x v="24"/>
    <x v="22"/>
    <n v="10"/>
  </r>
  <r>
    <x v="24"/>
    <x v="26"/>
    <n v="8"/>
  </r>
  <r>
    <x v="24"/>
    <x v="37"/>
    <n v="8"/>
  </r>
  <r>
    <x v="24"/>
    <x v="31"/>
    <n v="8"/>
  </r>
  <r>
    <x v="24"/>
    <x v="25"/>
    <n v="8"/>
  </r>
  <r>
    <x v="24"/>
    <x v="39"/>
    <n v="8"/>
  </r>
  <r>
    <x v="24"/>
    <x v="36"/>
    <n v="8"/>
  </r>
  <r>
    <x v="24"/>
    <x v="29"/>
    <n v="10"/>
  </r>
  <r>
    <x v="24"/>
    <x v="22"/>
    <n v="10"/>
  </r>
  <r>
    <x v="24"/>
    <x v="26"/>
    <n v="2"/>
  </r>
  <r>
    <x v="24"/>
    <x v="37"/>
    <n v="8"/>
  </r>
  <r>
    <x v="24"/>
    <x v="19"/>
    <n v="8"/>
  </r>
  <r>
    <x v="24"/>
    <x v="31"/>
    <n v="8"/>
  </r>
  <r>
    <x v="24"/>
    <x v="25"/>
    <n v="8"/>
  </r>
  <r>
    <x v="25"/>
    <x v="26"/>
    <n v="8"/>
  </r>
  <r>
    <x v="25"/>
    <x v="38"/>
    <n v="10"/>
  </r>
  <r>
    <x v="25"/>
    <x v="26"/>
    <n v="8"/>
  </r>
  <r>
    <x v="25"/>
    <x v="50"/>
    <n v="3"/>
  </r>
  <r>
    <x v="25"/>
    <x v="50"/>
    <n v="5"/>
  </r>
  <r>
    <x v="25"/>
    <x v="39"/>
    <n v="8"/>
  </r>
  <r>
    <x v="25"/>
    <x v="38"/>
    <n v="10"/>
  </r>
  <r>
    <x v="25"/>
    <x v="50"/>
    <n v="3"/>
  </r>
  <r>
    <x v="25"/>
    <x v="50"/>
    <n v="5"/>
  </r>
  <r>
    <x v="25"/>
    <x v="37"/>
    <n v="8"/>
  </r>
  <r>
    <x v="25"/>
    <x v="19"/>
    <n v="8"/>
  </r>
  <r>
    <x v="25"/>
    <x v="25"/>
    <n v="8"/>
  </r>
  <r>
    <x v="25"/>
    <x v="39"/>
    <n v="8"/>
  </r>
  <r>
    <x v="25"/>
    <x v="36"/>
    <n v="8"/>
  </r>
  <r>
    <x v="25"/>
    <x v="38"/>
    <n v="10"/>
  </r>
  <r>
    <x v="25"/>
    <x v="22"/>
    <n v="2"/>
  </r>
  <r>
    <x v="25"/>
    <x v="26"/>
    <n v="6"/>
  </r>
  <r>
    <x v="25"/>
    <x v="50"/>
    <n v="8"/>
  </r>
  <r>
    <x v="25"/>
    <x v="37"/>
    <n v="8"/>
  </r>
  <r>
    <x v="25"/>
    <x v="31"/>
    <n v="8"/>
  </r>
  <r>
    <x v="25"/>
    <x v="25"/>
    <n v="8"/>
  </r>
  <r>
    <x v="25"/>
    <x v="39"/>
    <n v="8"/>
  </r>
  <r>
    <x v="25"/>
    <x v="36"/>
    <n v="8"/>
  </r>
  <r>
    <x v="25"/>
    <x v="29"/>
    <n v="10"/>
  </r>
  <r>
    <x v="25"/>
    <x v="38"/>
    <n v="10"/>
  </r>
  <r>
    <x v="25"/>
    <x v="22"/>
    <n v="16"/>
  </r>
  <r>
    <x v="25"/>
    <x v="26"/>
    <n v="8"/>
  </r>
  <r>
    <x v="25"/>
    <x v="50"/>
    <n v="8"/>
  </r>
  <r>
    <x v="25"/>
    <x v="37"/>
    <n v="8"/>
  </r>
  <r>
    <x v="25"/>
    <x v="31"/>
    <n v="8"/>
  </r>
  <r>
    <x v="25"/>
    <x v="25"/>
    <n v="8"/>
  </r>
  <r>
    <x v="25"/>
    <x v="39"/>
    <n v="8"/>
  </r>
  <r>
    <x v="25"/>
    <x v="36"/>
    <n v="8"/>
  </r>
  <r>
    <x v="25"/>
    <x v="29"/>
    <n v="10"/>
  </r>
  <r>
    <x v="25"/>
    <x v="22"/>
    <n v="16"/>
  </r>
  <r>
    <x v="25"/>
    <x v="26"/>
    <n v="8"/>
  </r>
  <r>
    <x v="25"/>
    <x v="50"/>
    <n v="8"/>
  </r>
  <r>
    <x v="25"/>
    <x v="37"/>
    <n v="8"/>
  </r>
  <r>
    <x v="25"/>
    <x v="31"/>
    <n v="8"/>
  </r>
  <r>
    <x v="25"/>
    <x v="25"/>
    <n v="8"/>
  </r>
  <r>
    <x v="25"/>
    <x v="39"/>
    <n v="8"/>
  </r>
  <r>
    <x v="25"/>
    <x v="36"/>
    <n v="8"/>
  </r>
  <r>
    <x v="25"/>
    <x v="29"/>
    <n v="10"/>
  </r>
  <r>
    <x v="25"/>
    <x v="22"/>
    <n v="16"/>
  </r>
  <r>
    <x v="25"/>
    <x v="26"/>
    <n v="2"/>
  </r>
  <r>
    <x v="25"/>
    <x v="31"/>
    <n v="8"/>
  </r>
  <r>
    <x v="25"/>
    <x v="25"/>
    <n v="8"/>
  </r>
  <r>
    <x v="26"/>
    <x v="26"/>
    <n v="8"/>
  </r>
  <r>
    <x v="26"/>
    <x v="51"/>
    <n v="8"/>
  </r>
  <r>
    <x v="26"/>
    <x v="38"/>
    <n v="8"/>
  </r>
  <r>
    <x v="26"/>
    <x v="22"/>
    <n v="12"/>
  </r>
  <r>
    <x v="26"/>
    <x v="26"/>
    <n v="8"/>
  </r>
  <r>
    <x v="26"/>
    <x v="51"/>
    <n v="8"/>
  </r>
  <r>
    <x v="26"/>
    <x v="50"/>
    <n v="8"/>
  </r>
  <r>
    <x v="26"/>
    <x v="36"/>
    <n v="8"/>
  </r>
  <r>
    <x v="26"/>
    <x v="38"/>
    <n v="8"/>
  </r>
  <r>
    <x v="26"/>
    <x v="51"/>
    <n v="8"/>
  </r>
  <r>
    <x v="26"/>
    <x v="50"/>
    <n v="8"/>
  </r>
  <r>
    <x v="26"/>
    <x v="37"/>
    <n v="8"/>
  </r>
  <r>
    <x v="26"/>
    <x v="19"/>
    <n v="5"/>
  </r>
  <r>
    <x v="26"/>
    <x v="31"/>
    <n v="8"/>
  </r>
  <r>
    <x v="26"/>
    <x v="25"/>
    <n v="8"/>
  </r>
  <r>
    <x v="26"/>
    <x v="36"/>
    <n v="8"/>
  </r>
  <r>
    <x v="26"/>
    <x v="38"/>
    <n v="8"/>
  </r>
  <r>
    <x v="26"/>
    <x v="26"/>
    <n v="6"/>
  </r>
  <r>
    <x v="26"/>
    <x v="51"/>
    <n v="8"/>
  </r>
  <r>
    <x v="26"/>
    <x v="50"/>
    <n v="8"/>
  </r>
  <r>
    <x v="26"/>
    <x v="37"/>
    <n v="8"/>
  </r>
  <r>
    <x v="26"/>
    <x v="19"/>
    <n v="5"/>
  </r>
  <r>
    <x v="26"/>
    <x v="31"/>
    <n v="8"/>
  </r>
  <r>
    <x v="26"/>
    <x v="25"/>
    <n v="8"/>
  </r>
  <r>
    <x v="26"/>
    <x v="36"/>
    <n v="8"/>
  </r>
  <r>
    <x v="26"/>
    <x v="29"/>
    <n v="10"/>
  </r>
  <r>
    <x v="26"/>
    <x v="38"/>
    <n v="8"/>
  </r>
  <r>
    <x v="26"/>
    <x v="22"/>
    <n v="16"/>
  </r>
  <r>
    <x v="26"/>
    <x v="26"/>
    <n v="8"/>
  </r>
  <r>
    <x v="26"/>
    <x v="51"/>
    <n v="8"/>
  </r>
  <r>
    <x v="26"/>
    <x v="50"/>
    <n v="8"/>
  </r>
  <r>
    <x v="26"/>
    <x v="37"/>
    <n v="8"/>
  </r>
  <r>
    <x v="26"/>
    <x v="31"/>
    <n v="8"/>
  </r>
  <r>
    <x v="26"/>
    <x v="25"/>
    <n v="8"/>
  </r>
  <r>
    <x v="26"/>
    <x v="36"/>
    <n v="8"/>
  </r>
  <r>
    <x v="26"/>
    <x v="29"/>
    <n v="10"/>
  </r>
  <r>
    <x v="26"/>
    <x v="38"/>
    <n v="8"/>
  </r>
  <r>
    <x v="26"/>
    <x v="22"/>
    <n v="16"/>
  </r>
  <r>
    <x v="26"/>
    <x v="26"/>
    <n v="8"/>
  </r>
  <r>
    <x v="26"/>
    <x v="50"/>
    <n v="8"/>
  </r>
  <r>
    <x v="26"/>
    <x v="37"/>
    <n v="8"/>
  </r>
  <r>
    <x v="26"/>
    <x v="31"/>
    <n v="8"/>
  </r>
  <r>
    <x v="26"/>
    <x v="25"/>
    <n v="8"/>
  </r>
  <r>
    <x v="26"/>
    <x v="36"/>
    <n v="8"/>
  </r>
  <r>
    <x v="26"/>
    <x v="29"/>
    <n v="10"/>
  </r>
  <r>
    <x v="26"/>
    <x v="22"/>
    <n v="16"/>
  </r>
  <r>
    <x v="26"/>
    <x v="26"/>
    <n v="2"/>
  </r>
  <r>
    <x v="26"/>
    <x v="37"/>
    <n v="8"/>
  </r>
  <r>
    <x v="26"/>
    <x v="31"/>
    <n v="8"/>
  </r>
  <r>
    <x v="26"/>
    <x v="25"/>
    <n v="8"/>
  </r>
  <r>
    <x v="27"/>
    <x v="26"/>
    <n v="8"/>
  </r>
  <r>
    <x v="27"/>
    <x v="38"/>
    <n v="8"/>
  </r>
  <r>
    <x v="27"/>
    <x v="26"/>
    <n v="8"/>
  </r>
  <r>
    <x v="27"/>
    <x v="51"/>
    <n v="8"/>
  </r>
  <r>
    <x v="27"/>
    <x v="50"/>
    <n v="8"/>
  </r>
  <r>
    <x v="27"/>
    <x v="36"/>
    <n v="8"/>
  </r>
  <r>
    <x v="27"/>
    <x v="29"/>
    <n v="4"/>
  </r>
  <r>
    <x v="27"/>
    <x v="38"/>
    <n v="8"/>
  </r>
  <r>
    <x v="27"/>
    <x v="51"/>
    <n v="8"/>
  </r>
  <r>
    <x v="27"/>
    <x v="50"/>
    <n v="8"/>
  </r>
  <r>
    <x v="27"/>
    <x v="37"/>
    <n v="8"/>
  </r>
  <r>
    <x v="27"/>
    <x v="31"/>
    <n v="8"/>
  </r>
  <r>
    <x v="27"/>
    <x v="25"/>
    <n v="3"/>
  </r>
  <r>
    <x v="27"/>
    <x v="36"/>
    <n v="8"/>
  </r>
  <r>
    <x v="27"/>
    <x v="29"/>
    <n v="4"/>
  </r>
  <r>
    <x v="27"/>
    <x v="38"/>
    <n v="8"/>
  </r>
  <r>
    <x v="27"/>
    <x v="26"/>
    <n v="6"/>
  </r>
  <r>
    <x v="27"/>
    <x v="51"/>
    <n v="8"/>
  </r>
  <r>
    <x v="27"/>
    <x v="50"/>
    <n v="8"/>
  </r>
  <r>
    <x v="27"/>
    <x v="37"/>
    <n v="8"/>
  </r>
  <r>
    <x v="27"/>
    <x v="19"/>
    <n v="5"/>
  </r>
  <r>
    <x v="27"/>
    <x v="31"/>
    <n v="8"/>
  </r>
  <r>
    <x v="27"/>
    <x v="25"/>
    <n v="8"/>
  </r>
  <r>
    <x v="27"/>
    <x v="36"/>
    <n v="8"/>
  </r>
  <r>
    <x v="27"/>
    <x v="29"/>
    <n v="9"/>
  </r>
  <r>
    <x v="27"/>
    <x v="38"/>
    <n v="8"/>
  </r>
  <r>
    <x v="27"/>
    <x v="22"/>
    <n v="15"/>
  </r>
  <r>
    <x v="27"/>
    <x v="26"/>
    <n v="8"/>
  </r>
  <r>
    <x v="27"/>
    <x v="51"/>
    <n v="8"/>
  </r>
  <r>
    <x v="27"/>
    <x v="50"/>
    <n v="8"/>
  </r>
  <r>
    <x v="27"/>
    <x v="37"/>
    <n v="8"/>
  </r>
  <r>
    <x v="27"/>
    <x v="19"/>
    <n v="5"/>
  </r>
  <r>
    <x v="27"/>
    <x v="31"/>
    <n v="8"/>
  </r>
  <r>
    <x v="27"/>
    <x v="25"/>
    <n v="8"/>
  </r>
  <r>
    <x v="27"/>
    <x v="36"/>
    <n v="8"/>
  </r>
  <r>
    <x v="27"/>
    <x v="29"/>
    <n v="9"/>
  </r>
  <r>
    <x v="27"/>
    <x v="38"/>
    <n v="8"/>
  </r>
  <r>
    <x v="27"/>
    <x v="22"/>
    <n v="10"/>
  </r>
  <r>
    <x v="27"/>
    <x v="26"/>
    <n v="8"/>
  </r>
  <r>
    <x v="27"/>
    <x v="51"/>
    <n v="8"/>
  </r>
  <r>
    <x v="27"/>
    <x v="50"/>
    <n v="8"/>
  </r>
  <r>
    <x v="27"/>
    <x v="37"/>
    <n v="8"/>
  </r>
  <r>
    <x v="27"/>
    <x v="31"/>
    <n v="8"/>
  </r>
  <r>
    <x v="27"/>
    <x v="25"/>
    <n v="8"/>
  </r>
  <r>
    <x v="27"/>
    <x v="36"/>
    <n v="8"/>
  </r>
  <r>
    <x v="27"/>
    <x v="29"/>
    <n v="9"/>
  </r>
  <r>
    <x v="27"/>
    <x v="22"/>
    <n v="10"/>
  </r>
  <r>
    <x v="27"/>
    <x v="26"/>
    <n v="2"/>
  </r>
  <r>
    <x v="27"/>
    <x v="37"/>
    <n v="8"/>
  </r>
  <r>
    <x v="27"/>
    <x v="31"/>
    <n v="8"/>
  </r>
  <r>
    <x v="27"/>
    <x v="25"/>
    <n v="8"/>
  </r>
  <r>
    <x v="28"/>
    <x v="38"/>
    <n v="8"/>
  </r>
  <r>
    <x v="28"/>
    <x v="26"/>
    <n v="8"/>
  </r>
  <r>
    <x v="28"/>
    <x v="50"/>
    <n v="8"/>
  </r>
  <r>
    <x v="28"/>
    <x v="36"/>
    <n v="8"/>
  </r>
  <r>
    <x v="28"/>
    <x v="29"/>
    <n v="4"/>
  </r>
  <r>
    <x v="28"/>
    <x v="38"/>
    <n v="8"/>
  </r>
  <r>
    <x v="28"/>
    <x v="26"/>
    <n v="8"/>
  </r>
  <r>
    <x v="28"/>
    <x v="50"/>
    <n v="8"/>
  </r>
  <r>
    <x v="28"/>
    <x v="37"/>
    <n v="8"/>
  </r>
  <r>
    <x v="28"/>
    <x v="19"/>
    <n v="5"/>
  </r>
  <r>
    <x v="28"/>
    <x v="31"/>
    <n v="8"/>
  </r>
  <r>
    <x v="28"/>
    <x v="25"/>
    <n v="3"/>
  </r>
  <r>
    <x v="28"/>
    <x v="36"/>
    <n v="8"/>
  </r>
  <r>
    <x v="28"/>
    <x v="29"/>
    <n v="4"/>
  </r>
  <r>
    <x v="28"/>
    <x v="38"/>
    <n v="8"/>
  </r>
  <r>
    <x v="28"/>
    <x v="26"/>
    <n v="8"/>
  </r>
  <r>
    <x v="28"/>
    <x v="50"/>
    <n v="8"/>
  </r>
  <r>
    <x v="28"/>
    <x v="37"/>
    <n v="8"/>
  </r>
  <r>
    <x v="28"/>
    <x v="19"/>
    <n v="5"/>
  </r>
  <r>
    <x v="28"/>
    <x v="31"/>
    <n v="8"/>
  </r>
  <r>
    <x v="28"/>
    <x v="25"/>
    <n v="8"/>
  </r>
  <r>
    <x v="28"/>
    <x v="36"/>
    <n v="8"/>
  </r>
  <r>
    <x v="28"/>
    <x v="29"/>
    <n v="9"/>
  </r>
  <r>
    <x v="28"/>
    <x v="38"/>
    <n v="8"/>
  </r>
  <r>
    <x v="28"/>
    <x v="22"/>
    <n v="15"/>
  </r>
  <r>
    <x v="28"/>
    <x v="26"/>
    <n v="8"/>
  </r>
  <r>
    <x v="28"/>
    <x v="50"/>
    <n v="8"/>
  </r>
  <r>
    <x v="28"/>
    <x v="37"/>
    <n v="8"/>
  </r>
  <r>
    <x v="28"/>
    <x v="31"/>
    <n v="8"/>
  </r>
  <r>
    <x v="28"/>
    <x v="25"/>
    <n v="8"/>
  </r>
  <r>
    <x v="28"/>
    <x v="36"/>
    <n v="8"/>
  </r>
  <r>
    <x v="28"/>
    <x v="29"/>
    <n v="9"/>
  </r>
  <r>
    <x v="28"/>
    <x v="38"/>
    <n v="8"/>
  </r>
  <r>
    <x v="28"/>
    <x v="22"/>
    <n v="10"/>
  </r>
  <r>
    <x v="28"/>
    <x v="26"/>
    <n v="8"/>
  </r>
  <r>
    <x v="28"/>
    <x v="50"/>
    <n v="8"/>
  </r>
  <r>
    <x v="28"/>
    <x v="37"/>
    <n v="8"/>
  </r>
  <r>
    <x v="28"/>
    <x v="31"/>
    <n v="8"/>
  </r>
  <r>
    <x v="28"/>
    <x v="25"/>
    <n v="8"/>
  </r>
  <r>
    <x v="28"/>
    <x v="36"/>
    <n v="8"/>
  </r>
  <r>
    <x v="28"/>
    <x v="29"/>
    <n v="9"/>
  </r>
  <r>
    <x v="28"/>
    <x v="22"/>
    <n v="10"/>
  </r>
  <r>
    <x v="28"/>
    <x v="26"/>
    <n v="5"/>
  </r>
  <r>
    <x v="28"/>
    <x v="37"/>
    <n v="8"/>
  </r>
  <r>
    <x v="28"/>
    <x v="31"/>
    <n v="8"/>
  </r>
  <r>
    <x v="28"/>
    <x v="25"/>
    <n v="8"/>
  </r>
  <r>
    <x v="29"/>
    <x v="26"/>
    <n v="8"/>
  </r>
  <r>
    <x v="29"/>
    <x v="51"/>
    <n v="8"/>
  </r>
  <r>
    <x v="29"/>
    <x v="36"/>
    <n v="8"/>
  </r>
  <r>
    <x v="29"/>
    <x v="29"/>
    <n v="5"/>
  </r>
  <r>
    <x v="29"/>
    <x v="22"/>
    <n v="8"/>
  </r>
  <r>
    <x v="29"/>
    <x v="26"/>
    <n v="8"/>
  </r>
  <r>
    <x v="29"/>
    <x v="51"/>
    <n v="8"/>
  </r>
  <r>
    <x v="29"/>
    <x v="37"/>
    <n v="8"/>
  </r>
  <r>
    <x v="29"/>
    <x v="19"/>
    <n v="5"/>
  </r>
  <r>
    <x v="29"/>
    <x v="31"/>
    <n v="8"/>
  </r>
  <r>
    <x v="29"/>
    <x v="25"/>
    <n v="3"/>
  </r>
  <r>
    <x v="29"/>
    <x v="36"/>
    <n v="8"/>
  </r>
  <r>
    <x v="29"/>
    <x v="29"/>
    <n v="5"/>
  </r>
  <r>
    <x v="29"/>
    <x v="22"/>
    <n v="8"/>
  </r>
  <r>
    <x v="29"/>
    <x v="26"/>
    <n v="8"/>
  </r>
  <r>
    <x v="29"/>
    <x v="51"/>
    <n v="8"/>
  </r>
  <r>
    <x v="29"/>
    <x v="37"/>
    <n v="8"/>
  </r>
  <r>
    <x v="29"/>
    <x v="19"/>
    <n v="5"/>
  </r>
  <r>
    <x v="29"/>
    <x v="31"/>
    <n v="8"/>
  </r>
  <r>
    <x v="29"/>
    <x v="25"/>
    <n v="8"/>
  </r>
  <r>
    <x v="29"/>
    <x v="36"/>
    <n v="8"/>
  </r>
  <r>
    <x v="29"/>
    <x v="29"/>
    <n v="10"/>
  </r>
  <r>
    <x v="29"/>
    <x v="22"/>
    <n v="8"/>
  </r>
  <r>
    <x v="29"/>
    <x v="26"/>
    <n v="8"/>
  </r>
  <r>
    <x v="29"/>
    <x v="51"/>
    <n v="8"/>
  </r>
  <r>
    <x v="29"/>
    <x v="37"/>
    <n v="8"/>
  </r>
  <r>
    <x v="29"/>
    <x v="31"/>
    <n v="8"/>
  </r>
  <r>
    <x v="29"/>
    <x v="25"/>
    <n v="8"/>
  </r>
  <r>
    <x v="29"/>
    <x v="36"/>
    <n v="8"/>
  </r>
  <r>
    <x v="29"/>
    <x v="29"/>
    <n v="10"/>
  </r>
  <r>
    <x v="29"/>
    <x v="22"/>
    <n v="8"/>
  </r>
  <r>
    <x v="29"/>
    <x v="26"/>
    <n v="8"/>
  </r>
  <r>
    <x v="29"/>
    <x v="51"/>
    <n v="8"/>
  </r>
  <r>
    <x v="29"/>
    <x v="37"/>
    <n v="8"/>
  </r>
  <r>
    <x v="29"/>
    <x v="31"/>
    <n v="8"/>
  </r>
  <r>
    <x v="29"/>
    <x v="25"/>
    <n v="8"/>
  </r>
  <r>
    <x v="29"/>
    <x v="36"/>
    <n v="8"/>
  </r>
  <r>
    <x v="29"/>
    <x v="29"/>
    <n v="10"/>
  </r>
  <r>
    <x v="29"/>
    <x v="22"/>
    <n v="8"/>
  </r>
  <r>
    <x v="29"/>
    <x v="26"/>
    <n v="5"/>
  </r>
  <r>
    <x v="29"/>
    <x v="37"/>
    <n v="8"/>
  </r>
  <r>
    <x v="29"/>
    <x v="31"/>
    <n v="8"/>
  </r>
  <r>
    <x v="29"/>
    <x v="25"/>
    <n v="8"/>
  </r>
  <r>
    <x v="30"/>
    <x v="26"/>
    <n v="8"/>
  </r>
  <r>
    <x v="30"/>
    <x v="11"/>
    <n v="8"/>
  </r>
  <r>
    <x v="30"/>
    <x v="36"/>
    <n v="8"/>
  </r>
  <r>
    <x v="30"/>
    <x v="29"/>
    <n v="8"/>
  </r>
  <r>
    <x v="30"/>
    <x v="30"/>
    <n v="8"/>
  </r>
  <r>
    <x v="30"/>
    <x v="22"/>
    <n v="8"/>
  </r>
  <r>
    <x v="30"/>
    <x v="26"/>
    <n v="8"/>
  </r>
  <r>
    <x v="30"/>
    <x v="37"/>
    <n v="8"/>
  </r>
  <r>
    <x v="30"/>
    <x v="19"/>
    <n v="8"/>
  </r>
  <r>
    <x v="30"/>
    <x v="31"/>
    <n v="8"/>
  </r>
  <r>
    <x v="30"/>
    <x v="25"/>
    <n v="8"/>
  </r>
  <r>
    <x v="30"/>
    <x v="11"/>
    <n v="8"/>
  </r>
  <r>
    <x v="30"/>
    <x v="36"/>
    <n v="8"/>
  </r>
  <r>
    <x v="30"/>
    <x v="29"/>
    <n v="8"/>
  </r>
  <r>
    <x v="30"/>
    <x v="30"/>
    <n v="8"/>
  </r>
  <r>
    <x v="30"/>
    <x v="22"/>
    <n v="8"/>
  </r>
  <r>
    <x v="30"/>
    <x v="26"/>
    <n v="8"/>
  </r>
  <r>
    <x v="30"/>
    <x v="37"/>
    <n v="8"/>
  </r>
  <r>
    <x v="30"/>
    <x v="19"/>
    <n v="8"/>
  </r>
  <r>
    <x v="30"/>
    <x v="31"/>
    <n v="8"/>
  </r>
  <r>
    <x v="30"/>
    <x v="25"/>
    <n v="8"/>
  </r>
  <r>
    <x v="30"/>
    <x v="39"/>
    <n v="8"/>
  </r>
  <r>
    <x v="30"/>
    <x v="11"/>
    <n v="8"/>
  </r>
  <r>
    <x v="30"/>
    <x v="30"/>
    <n v="8"/>
  </r>
  <r>
    <x v="30"/>
    <x v="22"/>
    <n v="8"/>
  </r>
  <r>
    <x v="30"/>
    <x v="26"/>
    <n v="8"/>
  </r>
  <r>
    <x v="30"/>
    <x v="37"/>
    <n v="8"/>
  </r>
  <r>
    <x v="30"/>
    <x v="19"/>
    <n v="8"/>
  </r>
  <r>
    <x v="30"/>
    <x v="31"/>
    <n v="8"/>
  </r>
  <r>
    <x v="30"/>
    <x v="39"/>
    <n v="8"/>
  </r>
  <r>
    <x v="30"/>
    <x v="11"/>
    <n v="8"/>
  </r>
  <r>
    <x v="30"/>
    <x v="36"/>
    <n v="8"/>
  </r>
  <r>
    <x v="30"/>
    <x v="30"/>
    <n v="8"/>
  </r>
  <r>
    <x v="30"/>
    <x v="22"/>
    <n v="8"/>
  </r>
  <r>
    <x v="30"/>
    <x v="37"/>
    <n v="8"/>
  </r>
  <r>
    <x v="30"/>
    <x v="19"/>
    <n v="8"/>
  </r>
  <r>
    <x v="30"/>
    <x v="31"/>
    <n v="8"/>
  </r>
  <r>
    <x v="30"/>
    <x v="39"/>
    <n v="8"/>
  </r>
  <r>
    <x v="30"/>
    <x v="11"/>
    <n v="8"/>
  </r>
  <r>
    <x v="30"/>
    <x v="36"/>
    <n v="8"/>
  </r>
  <r>
    <x v="30"/>
    <x v="30"/>
    <n v="8"/>
  </r>
  <r>
    <x v="30"/>
    <x v="22"/>
    <n v="8"/>
  </r>
  <r>
    <x v="30"/>
    <x v="37"/>
    <n v="8"/>
  </r>
  <r>
    <x v="30"/>
    <x v="19"/>
    <n v="8"/>
  </r>
  <r>
    <x v="30"/>
    <x v="31"/>
    <n v="8"/>
  </r>
  <r>
    <x v="31"/>
    <x v="26"/>
    <n v="8"/>
  </r>
  <r>
    <x v="31"/>
    <x v="11"/>
    <n v="8"/>
  </r>
  <r>
    <x v="31"/>
    <x v="36"/>
    <n v="8"/>
  </r>
  <r>
    <x v="31"/>
    <x v="29"/>
    <n v="8"/>
  </r>
  <r>
    <x v="31"/>
    <x v="30"/>
    <n v="8"/>
  </r>
  <r>
    <x v="31"/>
    <x v="22"/>
    <n v="8"/>
  </r>
  <r>
    <x v="31"/>
    <x v="26"/>
    <n v="8"/>
  </r>
  <r>
    <x v="31"/>
    <x v="37"/>
    <n v="8"/>
  </r>
  <r>
    <x v="31"/>
    <x v="19"/>
    <n v="8"/>
  </r>
  <r>
    <x v="31"/>
    <x v="31"/>
    <n v="8"/>
  </r>
  <r>
    <x v="31"/>
    <x v="25"/>
    <n v="8"/>
  </r>
  <r>
    <x v="31"/>
    <x v="11"/>
    <n v="8"/>
  </r>
  <r>
    <x v="31"/>
    <x v="36"/>
    <n v="8"/>
  </r>
  <r>
    <x v="31"/>
    <x v="29"/>
    <n v="8"/>
  </r>
  <r>
    <x v="31"/>
    <x v="30"/>
    <n v="8"/>
  </r>
  <r>
    <x v="31"/>
    <x v="22"/>
    <n v="8"/>
  </r>
  <r>
    <x v="31"/>
    <x v="26"/>
    <n v="8"/>
  </r>
  <r>
    <x v="31"/>
    <x v="37"/>
    <n v="8"/>
  </r>
  <r>
    <x v="31"/>
    <x v="19"/>
    <n v="8"/>
  </r>
  <r>
    <x v="31"/>
    <x v="31"/>
    <n v="8"/>
  </r>
  <r>
    <x v="31"/>
    <x v="25"/>
    <n v="8"/>
  </r>
  <r>
    <x v="31"/>
    <x v="39"/>
    <n v="8"/>
  </r>
  <r>
    <x v="31"/>
    <x v="11"/>
    <n v="8"/>
  </r>
  <r>
    <x v="31"/>
    <x v="36"/>
    <n v="8"/>
  </r>
  <r>
    <x v="31"/>
    <x v="30"/>
    <n v="8"/>
  </r>
  <r>
    <x v="31"/>
    <x v="22"/>
    <n v="8"/>
  </r>
  <r>
    <x v="31"/>
    <x v="26"/>
    <n v="8"/>
  </r>
  <r>
    <x v="31"/>
    <x v="37"/>
    <n v="8"/>
  </r>
  <r>
    <x v="31"/>
    <x v="19"/>
    <n v="8"/>
  </r>
  <r>
    <x v="31"/>
    <x v="31"/>
    <n v="8"/>
  </r>
  <r>
    <x v="31"/>
    <x v="39"/>
    <n v="8"/>
  </r>
  <r>
    <x v="31"/>
    <x v="11"/>
    <n v="8"/>
  </r>
  <r>
    <x v="31"/>
    <x v="36"/>
    <n v="8"/>
  </r>
  <r>
    <x v="31"/>
    <x v="30"/>
    <n v="8"/>
  </r>
  <r>
    <x v="31"/>
    <x v="22"/>
    <n v="8"/>
  </r>
  <r>
    <x v="31"/>
    <x v="37"/>
    <n v="8"/>
  </r>
  <r>
    <x v="31"/>
    <x v="19"/>
    <n v="8"/>
  </r>
  <r>
    <x v="31"/>
    <x v="31"/>
    <n v="8"/>
  </r>
  <r>
    <x v="31"/>
    <x v="39"/>
    <n v="8"/>
  </r>
  <r>
    <x v="31"/>
    <x v="11"/>
    <n v="8"/>
  </r>
  <r>
    <x v="31"/>
    <x v="36"/>
    <n v="8"/>
  </r>
  <r>
    <x v="31"/>
    <x v="30"/>
    <n v="8"/>
  </r>
  <r>
    <x v="31"/>
    <x v="22"/>
    <n v="8"/>
  </r>
  <r>
    <x v="31"/>
    <x v="37"/>
    <n v="8"/>
  </r>
  <r>
    <x v="31"/>
    <x v="19"/>
    <n v="8"/>
  </r>
  <r>
    <x v="31"/>
    <x v="31"/>
    <n v="8"/>
  </r>
  <r>
    <x v="32"/>
    <x v="30"/>
    <n v="8"/>
  </r>
  <r>
    <x v="32"/>
    <x v="50"/>
    <n v="8"/>
  </r>
  <r>
    <x v="32"/>
    <x v="11"/>
    <n v="8"/>
  </r>
  <r>
    <x v="32"/>
    <x v="42"/>
    <n v="8"/>
  </r>
  <r>
    <x v="32"/>
    <x v="36"/>
    <n v="8"/>
  </r>
  <r>
    <x v="32"/>
    <x v="29"/>
    <n v="16"/>
  </r>
  <r>
    <x v="32"/>
    <x v="30"/>
    <n v="8"/>
  </r>
  <r>
    <x v="32"/>
    <x v="22"/>
    <n v="8"/>
  </r>
  <r>
    <x v="32"/>
    <x v="52"/>
    <n v="8"/>
  </r>
  <r>
    <x v="32"/>
    <x v="26"/>
    <n v="8"/>
  </r>
  <r>
    <x v="32"/>
    <x v="50"/>
    <n v="8"/>
  </r>
  <r>
    <x v="32"/>
    <x v="37"/>
    <n v="8"/>
  </r>
  <r>
    <x v="32"/>
    <x v="19"/>
    <n v="8"/>
  </r>
  <r>
    <x v="32"/>
    <x v="31"/>
    <n v="8"/>
  </r>
  <r>
    <x v="32"/>
    <x v="25"/>
    <n v="8"/>
  </r>
  <r>
    <x v="32"/>
    <x v="39"/>
    <n v="8"/>
  </r>
  <r>
    <x v="32"/>
    <x v="42"/>
    <n v="8"/>
  </r>
  <r>
    <x v="32"/>
    <x v="36"/>
    <n v="8"/>
  </r>
  <r>
    <x v="32"/>
    <x v="29"/>
    <n v="8"/>
  </r>
  <r>
    <x v="32"/>
    <x v="30"/>
    <n v="8"/>
  </r>
  <r>
    <x v="32"/>
    <x v="22"/>
    <n v="8"/>
  </r>
  <r>
    <x v="32"/>
    <x v="52"/>
    <n v="8"/>
  </r>
  <r>
    <x v="32"/>
    <x v="26"/>
    <n v="8"/>
  </r>
  <r>
    <x v="32"/>
    <x v="50"/>
    <n v="8"/>
  </r>
  <r>
    <x v="32"/>
    <x v="37"/>
    <n v="8"/>
  </r>
  <r>
    <x v="32"/>
    <x v="19"/>
    <n v="8"/>
  </r>
  <r>
    <x v="32"/>
    <x v="31"/>
    <n v="8"/>
  </r>
  <r>
    <x v="32"/>
    <x v="25"/>
    <n v="8"/>
  </r>
  <r>
    <x v="32"/>
    <x v="39"/>
    <n v="8"/>
  </r>
  <r>
    <x v="32"/>
    <x v="11"/>
    <n v="8"/>
  </r>
  <r>
    <x v="32"/>
    <x v="42"/>
    <n v="8"/>
  </r>
  <r>
    <x v="32"/>
    <x v="36"/>
    <n v="8"/>
  </r>
  <r>
    <x v="32"/>
    <x v="29"/>
    <n v="8"/>
  </r>
  <r>
    <x v="32"/>
    <x v="30"/>
    <n v="16"/>
  </r>
  <r>
    <x v="32"/>
    <x v="22"/>
    <n v="8"/>
  </r>
  <r>
    <x v="32"/>
    <x v="52"/>
    <n v="8"/>
  </r>
  <r>
    <x v="32"/>
    <x v="26"/>
    <n v="8"/>
  </r>
  <r>
    <x v="32"/>
    <x v="50"/>
    <n v="8"/>
  </r>
  <r>
    <x v="32"/>
    <x v="37"/>
    <n v="8"/>
  </r>
  <r>
    <x v="32"/>
    <x v="19"/>
    <n v="8"/>
  </r>
  <r>
    <x v="32"/>
    <x v="31"/>
    <n v="8"/>
  </r>
  <r>
    <x v="32"/>
    <x v="25"/>
    <n v="8"/>
  </r>
  <r>
    <x v="32"/>
    <x v="39"/>
    <n v="8"/>
  </r>
  <r>
    <x v="32"/>
    <x v="36"/>
    <n v="8"/>
  </r>
  <r>
    <x v="32"/>
    <x v="22"/>
    <n v="8"/>
  </r>
  <r>
    <x v="32"/>
    <x v="26"/>
    <n v="8"/>
  </r>
  <r>
    <x v="32"/>
    <x v="50"/>
    <n v="8"/>
  </r>
  <r>
    <x v="32"/>
    <x v="19"/>
    <n v="8"/>
  </r>
  <r>
    <x v="32"/>
    <x v="39"/>
    <n v="8"/>
  </r>
  <r>
    <x v="32"/>
    <x v="36"/>
    <n v="8"/>
  </r>
  <r>
    <x v="32"/>
    <x v="22"/>
    <n v="8"/>
  </r>
  <r>
    <x v="32"/>
    <x v="37"/>
    <n v="8"/>
  </r>
  <r>
    <x v="32"/>
    <x v="19"/>
    <n v="8"/>
  </r>
  <r>
    <x v="32"/>
    <x v="31"/>
    <n v="8"/>
  </r>
  <r>
    <x v="33"/>
    <x v="26"/>
    <n v="8"/>
  </r>
  <r>
    <x v="33"/>
    <x v="50"/>
    <n v="8"/>
  </r>
  <r>
    <x v="33"/>
    <x v="36"/>
    <n v="8"/>
  </r>
  <r>
    <x v="33"/>
    <x v="29"/>
    <n v="8"/>
  </r>
  <r>
    <x v="33"/>
    <x v="22"/>
    <n v="8"/>
  </r>
  <r>
    <x v="33"/>
    <x v="50"/>
    <n v="8"/>
  </r>
  <r>
    <x v="33"/>
    <x v="37"/>
    <n v="8"/>
  </r>
  <r>
    <x v="33"/>
    <x v="19"/>
    <n v="8"/>
  </r>
  <r>
    <x v="33"/>
    <x v="25"/>
    <n v="8"/>
  </r>
  <r>
    <x v="33"/>
    <x v="42"/>
    <n v="8"/>
  </r>
  <r>
    <x v="33"/>
    <x v="36"/>
    <n v="8"/>
  </r>
  <r>
    <x v="33"/>
    <x v="29"/>
    <n v="8"/>
  </r>
  <r>
    <x v="33"/>
    <x v="22"/>
    <n v="8"/>
  </r>
  <r>
    <x v="33"/>
    <x v="26"/>
    <n v="8"/>
  </r>
  <r>
    <x v="33"/>
    <x v="50"/>
    <n v="8"/>
  </r>
  <r>
    <x v="33"/>
    <x v="37"/>
    <n v="8"/>
  </r>
  <r>
    <x v="33"/>
    <x v="19"/>
    <n v="8"/>
  </r>
  <r>
    <x v="33"/>
    <x v="25"/>
    <n v="8"/>
  </r>
  <r>
    <x v="33"/>
    <x v="39"/>
    <n v="8"/>
  </r>
  <r>
    <x v="33"/>
    <x v="42"/>
    <n v="8"/>
  </r>
  <r>
    <x v="33"/>
    <x v="36"/>
    <n v="8"/>
  </r>
  <r>
    <x v="33"/>
    <x v="29"/>
    <n v="8"/>
  </r>
  <r>
    <x v="33"/>
    <x v="22"/>
    <n v="8"/>
  </r>
  <r>
    <x v="33"/>
    <x v="26"/>
    <n v="8"/>
  </r>
  <r>
    <x v="33"/>
    <x v="50"/>
    <n v="8"/>
  </r>
  <r>
    <x v="33"/>
    <x v="37"/>
    <n v="8"/>
  </r>
  <r>
    <x v="33"/>
    <x v="19"/>
    <n v="8"/>
  </r>
  <r>
    <x v="33"/>
    <x v="25"/>
    <n v="8"/>
  </r>
  <r>
    <x v="33"/>
    <x v="39"/>
    <n v="8"/>
  </r>
  <r>
    <x v="33"/>
    <x v="36"/>
    <n v="8"/>
  </r>
  <r>
    <x v="33"/>
    <x v="22"/>
    <n v="8"/>
  </r>
  <r>
    <x v="33"/>
    <x v="26"/>
    <n v="8"/>
  </r>
  <r>
    <x v="33"/>
    <x v="50"/>
    <n v="8"/>
  </r>
  <r>
    <x v="33"/>
    <x v="37"/>
    <n v="8"/>
  </r>
  <r>
    <x v="33"/>
    <x v="19"/>
    <n v="8"/>
  </r>
  <r>
    <x v="33"/>
    <x v="39"/>
    <n v="8"/>
  </r>
  <r>
    <x v="33"/>
    <x v="36"/>
    <n v="8"/>
  </r>
  <r>
    <x v="33"/>
    <x v="37"/>
    <n v="8"/>
  </r>
  <r>
    <x v="34"/>
    <x v="26"/>
    <n v="8"/>
  </r>
  <r>
    <x v="34"/>
    <x v="50"/>
    <n v="16"/>
  </r>
  <r>
    <x v="34"/>
    <x v="25"/>
    <n v="8"/>
  </r>
  <r>
    <x v="34"/>
    <x v="42"/>
    <n v="8"/>
  </r>
  <r>
    <x v="34"/>
    <x v="36"/>
    <n v="8"/>
  </r>
  <r>
    <x v="34"/>
    <x v="29"/>
    <n v="8"/>
  </r>
  <r>
    <x v="34"/>
    <x v="22"/>
    <n v="8"/>
  </r>
  <r>
    <x v="34"/>
    <x v="26"/>
    <n v="8"/>
  </r>
  <r>
    <x v="34"/>
    <x v="50"/>
    <n v="16"/>
  </r>
  <r>
    <x v="34"/>
    <x v="37"/>
    <n v="8"/>
  </r>
  <r>
    <x v="34"/>
    <x v="19"/>
    <n v="8"/>
  </r>
  <r>
    <x v="34"/>
    <x v="25"/>
    <n v="8"/>
  </r>
  <r>
    <x v="34"/>
    <x v="39"/>
    <n v="8"/>
  </r>
  <r>
    <x v="34"/>
    <x v="42"/>
    <n v="8"/>
  </r>
  <r>
    <x v="34"/>
    <x v="36"/>
    <n v="8"/>
  </r>
  <r>
    <x v="34"/>
    <x v="29"/>
    <n v="8"/>
  </r>
  <r>
    <x v="34"/>
    <x v="22"/>
    <n v="8"/>
  </r>
  <r>
    <x v="34"/>
    <x v="26"/>
    <n v="8"/>
  </r>
  <r>
    <x v="34"/>
    <x v="50"/>
    <n v="16"/>
  </r>
  <r>
    <x v="34"/>
    <x v="37"/>
    <n v="8"/>
  </r>
  <r>
    <x v="34"/>
    <x v="19"/>
    <n v="8"/>
  </r>
  <r>
    <x v="34"/>
    <x v="25"/>
    <n v="8"/>
  </r>
  <r>
    <x v="34"/>
    <x v="39"/>
    <n v="8"/>
  </r>
  <r>
    <x v="34"/>
    <x v="42"/>
    <n v="8"/>
  </r>
  <r>
    <x v="34"/>
    <x v="36"/>
    <n v="8"/>
  </r>
  <r>
    <x v="34"/>
    <x v="29"/>
    <n v="8"/>
  </r>
  <r>
    <x v="34"/>
    <x v="22"/>
    <n v="8"/>
  </r>
  <r>
    <x v="34"/>
    <x v="26"/>
    <n v="8"/>
  </r>
  <r>
    <x v="34"/>
    <x v="50"/>
    <n v="16"/>
  </r>
  <r>
    <x v="34"/>
    <x v="37"/>
    <n v="8"/>
  </r>
  <r>
    <x v="34"/>
    <x v="19"/>
    <n v="8"/>
  </r>
  <r>
    <x v="34"/>
    <x v="31"/>
    <n v="8"/>
  </r>
  <r>
    <x v="34"/>
    <x v="25"/>
    <n v="8"/>
  </r>
  <r>
    <x v="34"/>
    <x v="39"/>
    <n v="8"/>
  </r>
  <r>
    <x v="34"/>
    <x v="42"/>
    <n v="8"/>
  </r>
  <r>
    <x v="34"/>
    <x v="36"/>
    <n v="8"/>
  </r>
  <r>
    <x v="34"/>
    <x v="29"/>
    <n v="8"/>
  </r>
  <r>
    <x v="34"/>
    <x v="22"/>
    <n v="8"/>
  </r>
  <r>
    <x v="34"/>
    <x v="26"/>
    <n v="8"/>
  </r>
  <r>
    <x v="34"/>
    <x v="50"/>
    <n v="16"/>
  </r>
  <r>
    <x v="34"/>
    <x v="37"/>
    <n v="8"/>
  </r>
  <r>
    <x v="34"/>
    <x v="19"/>
    <n v="8"/>
  </r>
  <r>
    <x v="34"/>
    <x v="31"/>
    <n v="8"/>
  </r>
  <r>
    <x v="34"/>
    <x v="25"/>
    <n v="8"/>
  </r>
  <r>
    <x v="34"/>
    <x v="39"/>
    <n v="8"/>
  </r>
  <r>
    <x v="34"/>
    <x v="11"/>
    <n v="8"/>
  </r>
  <r>
    <x v="34"/>
    <x v="42"/>
    <n v="8"/>
  </r>
  <r>
    <x v="34"/>
    <x v="36"/>
    <n v="8"/>
  </r>
  <r>
    <x v="34"/>
    <x v="22"/>
    <n v="8"/>
  </r>
  <r>
    <x v="34"/>
    <x v="37"/>
    <n v="8"/>
  </r>
  <r>
    <x v="34"/>
    <x v="19"/>
    <n v="8"/>
  </r>
  <r>
    <x v="34"/>
    <x v="31"/>
    <n v="8"/>
  </r>
  <r>
    <x v="35"/>
    <x v="26"/>
    <n v="8"/>
  </r>
  <r>
    <x v="35"/>
    <x v="25"/>
    <n v="8"/>
  </r>
  <r>
    <x v="35"/>
    <x v="42"/>
    <n v="8"/>
  </r>
  <r>
    <x v="35"/>
    <x v="36"/>
    <n v="8"/>
  </r>
  <r>
    <x v="35"/>
    <x v="29"/>
    <n v="8"/>
  </r>
  <r>
    <x v="35"/>
    <x v="22"/>
    <n v="8"/>
  </r>
  <r>
    <x v="35"/>
    <x v="26"/>
    <n v="8"/>
  </r>
  <r>
    <x v="35"/>
    <x v="37"/>
    <n v="8"/>
  </r>
  <r>
    <x v="35"/>
    <x v="19"/>
    <n v="8"/>
  </r>
  <r>
    <x v="35"/>
    <x v="31"/>
    <n v="8"/>
  </r>
  <r>
    <x v="35"/>
    <x v="25"/>
    <n v="8"/>
  </r>
  <r>
    <x v="35"/>
    <x v="39"/>
    <n v="8"/>
  </r>
  <r>
    <x v="35"/>
    <x v="42"/>
    <n v="8"/>
  </r>
  <r>
    <x v="35"/>
    <x v="36"/>
    <n v="8"/>
  </r>
  <r>
    <x v="35"/>
    <x v="29"/>
    <n v="8"/>
  </r>
  <r>
    <x v="35"/>
    <x v="22"/>
    <n v="8"/>
  </r>
  <r>
    <x v="35"/>
    <x v="26"/>
    <n v="8"/>
  </r>
  <r>
    <x v="35"/>
    <x v="37"/>
    <n v="8"/>
  </r>
  <r>
    <x v="35"/>
    <x v="19"/>
    <n v="8"/>
  </r>
  <r>
    <x v="35"/>
    <x v="31"/>
    <n v="8"/>
  </r>
  <r>
    <x v="35"/>
    <x v="25"/>
    <n v="8"/>
  </r>
  <r>
    <x v="35"/>
    <x v="39"/>
    <n v="8"/>
  </r>
  <r>
    <x v="35"/>
    <x v="42"/>
    <n v="8"/>
  </r>
  <r>
    <x v="35"/>
    <x v="36"/>
    <n v="8"/>
  </r>
  <r>
    <x v="35"/>
    <x v="29"/>
    <n v="8"/>
  </r>
  <r>
    <x v="35"/>
    <x v="22"/>
    <n v="8"/>
  </r>
  <r>
    <x v="35"/>
    <x v="26"/>
    <n v="8"/>
  </r>
  <r>
    <x v="35"/>
    <x v="37"/>
    <n v="8"/>
  </r>
  <r>
    <x v="35"/>
    <x v="19"/>
    <n v="8"/>
  </r>
  <r>
    <x v="35"/>
    <x v="31"/>
    <n v="8"/>
  </r>
  <r>
    <x v="35"/>
    <x v="25"/>
    <n v="8"/>
  </r>
  <r>
    <x v="35"/>
    <x v="39"/>
    <n v="8"/>
  </r>
  <r>
    <x v="35"/>
    <x v="11"/>
    <n v="8"/>
  </r>
  <r>
    <x v="35"/>
    <x v="42"/>
    <n v="8"/>
  </r>
  <r>
    <x v="35"/>
    <x v="36"/>
    <n v="8"/>
  </r>
  <r>
    <x v="35"/>
    <x v="29"/>
    <n v="8"/>
  </r>
  <r>
    <x v="35"/>
    <x v="22"/>
    <n v="8"/>
  </r>
  <r>
    <x v="35"/>
    <x v="26"/>
    <n v="8"/>
  </r>
  <r>
    <x v="35"/>
    <x v="37"/>
    <n v="8"/>
  </r>
  <r>
    <x v="35"/>
    <x v="19"/>
    <n v="8"/>
  </r>
  <r>
    <x v="35"/>
    <x v="31"/>
    <n v="8"/>
  </r>
  <r>
    <x v="35"/>
    <x v="25"/>
    <n v="8"/>
  </r>
  <r>
    <x v="35"/>
    <x v="39"/>
    <n v="8"/>
  </r>
  <r>
    <x v="35"/>
    <x v="42"/>
    <n v="8"/>
  </r>
  <r>
    <x v="35"/>
    <x v="36"/>
    <n v="8"/>
  </r>
  <r>
    <x v="35"/>
    <x v="22"/>
    <n v="8"/>
  </r>
  <r>
    <x v="35"/>
    <x v="37"/>
    <n v="8"/>
  </r>
  <r>
    <x v="35"/>
    <x v="19"/>
    <n v="8"/>
  </r>
  <r>
    <x v="35"/>
    <x v="31"/>
    <n v="8"/>
  </r>
  <r>
    <x v="36"/>
    <x v="26"/>
    <n v="8"/>
  </r>
  <r>
    <x v="36"/>
    <x v="25"/>
    <n v="8"/>
  </r>
  <r>
    <x v="36"/>
    <x v="36"/>
    <n v="8"/>
  </r>
  <r>
    <x v="36"/>
    <x v="29"/>
    <n v="8"/>
  </r>
  <r>
    <x v="36"/>
    <x v="22"/>
    <n v="8"/>
  </r>
  <r>
    <x v="36"/>
    <x v="26"/>
    <n v="8"/>
  </r>
  <r>
    <x v="36"/>
    <x v="37"/>
    <n v="8"/>
  </r>
  <r>
    <x v="36"/>
    <x v="19"/>
    <n v="8"/>
  </r>
  <r>
    <x v="36"/>
    <x v="31"/>
    <n v="8"/>
  </r>
  <r>
    <x v="36"/>
    <x v="25"/>
    <n v="8"/>
  </r>
  <r>
    <x v="36"/>
    <x v="29"/>
    <n v="8"/>
  </r>
  <r>
    <x v="36"/>
    <x v="22"/>
    <n v="8"/>
  </r>
  <r>
    <x v="36"/>
    <x v="26"/>
    <n v="8"/>
  </r>
  <r>
    <x v="36"/>
    <x v="37"/>
    <n v="8"/>
  </r>
  <r>
    <x v="36"/>
    <x v="19"/>
    <n v="8"/>
  </r>
  <r>
    <x v="36"/>
    <x v="25"/>
    <n v="8"/>
  </r>
  <r>
    <x v="36"/>
    <x v="39"/>
    <n v="8"/>
  </r>
  <r>
    <x v="36"/>
    <x v="36"/>
    <n v="8"/>
  </r>
  <r>
    <x v="36"/>
    <x v="29"/>
    <n v="8"/>
  </r>
  <r>
    <x v="36"/>
    <x v="22"/>
    <n v="8"/>
  </r>
  <r>
    <x v="36"/>
    <x v="26"/>
    <n v="8"/>
  </r>
  <r>
    <x v="36"/>
    <x v="37"/>
    <n v="8"/>
  </r>
  <r>
    <x v="36"/>
    <x v="19"/>
    <n v="8"/>
  </r>
  <r>
    <x v="36"/>
    <x v="25"/>
    <n v="8"/>
  </r>
  <r>
    <x v="36"/>
    <x v="39"/>
    <n v="8"/>
  </r>
  <r>
    <x v="36"/>
    <x v="11"/>
    <n v="8"/>
  </r>
  <r>
    <x v="36"/>
    <x v="36"/>
    <n v="8"/>
  </r>
  <r>
    <x v="36"/>
    <x v="29"/>
    <n v="8"/>
  </r>
  <r>
    <x v="36"/>
    <x v="22"/>
    <n v="8"/>
  </r>
  <r>
    <x v="36"/>
    <x v="26"/>
    <n v="8"/>
  </r>
  <r>
    <x v="36"/>
    <x v="37"/>
    <n v="8"/>
  </r>
  <r>
    <x v="36"/>
    <x v="19"/>
    <n v="8"/>
  </r>
  <r>
    <x v="36"/>
    <x v="25"/>
    <n v="8"/>
  </r>
  <r>
    <x v="36"/>
    <x v="39"/>
    <n v="8"/>
  </r>
  <r>
    <x v="36"/>
    <x v="36"/>
    <n v="8"/>
  </r>
  <r>
    <x v="36"/>
    <x v="37"/>
    <n v="8"/>
  </r>
  <r>
    <x v="36"/>
    <x v="31"/>
    <n v="8"/>
  </r>
  <r>
    <x v="37"/>
    <x v="26"/>
    <n v="8"/>
  </r>
  <r>
    <x v="37"/>
    <x v="25"/>
    <n v="8"/>
  </r>
  <r>
    <x v="37"/>
    <x v="36"/>
    <n v="8"/>
  </r>
  <r>
    <x v="37"/>
    <x v="29"/>
    <n v="8"/>
  </r>
  <r>
    <x v="37"/>
    <x v="22"/>
    <n v="8"/>
  </r>
  <r>
    <x v="37"/>
    <x v="26"/>
    <n v="8"/>
  </r>
  <r>
    <x v="37"/>
    <x v="37"/>
    <n v="8"/>
  </r>
  <r>
    <x v="37"/>
    <x v="19"/>
    <n v="8"/>
  </r>
  <r>
    <x v="37"/>
    <x v="31"/>
    <n v="8"/>
  </r>
  <r>
    <x v="37"/>
    <x v="25"/>
    <n v="8"/>
  </r>
  <r>
    <x v="37"/>
    <x v="39"/>
    <n v="8"/>
  </r>
  <r>
    <x v="37"/>
    <x v="36"/>
    <n v="8"/>
  </r>
  <r>
    <x v="37"/>
    <x v="29"/>
    <n v="8"/>
  </r>
  <r>
    <x v="37"/>
    <x v="22"/>
    <n v="8"/>
  </r>
  <r>
    <x v="37"/>
    <x v="26"/>
    <n v="8"/>
  </r>
  <r>
    <x v="37"/>
    <x v="37"/>
    <n v="8"/>
  </r>
  <r>
    <x v="37"/>
    <x v="19"/>
    <n v="8"/>
  </r>
  <r>
    <x v="37"/>
    <x v="31"/>
    <n v="8"/>
  </r>
  <r>
    <x v="37"/>
    <x v="25"/>
    <n v="8"/>
  </r>
  <r>
    <x v="37"/>
    <x v="39"/>
    <n v="8"/>
  </r>
  <r>
    <x v="37"/>
    <x v="11"/>
    <n v="8"/>
  </r>
  <r>
    <x v="37"/>
    <x v="36"/>
    <n v="8"/>
  </r>
  <r>
    <x v="37"/>
    <x v="29"/>
    <n v="8"/>
  </r>
  <r>
    <x v="37"/>
    <x v="22"/>
    <n v="8"/>
  </r>
  <r>
    <x v="37"/>
    <x v="26"/>
    <n v="8"/>
  </r>
  <r>
    <x v="37"/>
    <x v="37"/>
    <n v="8"/>
  </r>
  <r>
    <x v="37"/>
    <x v="19"/>
    <n v="8"/>
  </r>
  <r>
    <x v="37"/>
    <x v="31"/>
    <n v="8"/>
  </r>
  <r>
    <x v="37"/>
    <x v="25"/>
    <n v="8"/>
  </r>
  <r>
    <x v="37"/>
    <x v="39"/>
    <n v="8"/>
  </r>
  <r>
    <x v="37"/>
    <x v="11"/>
    <n v="8"/>
  </r>
  <r>
    <x v="37"/>
    <x v="36"/>
    <n v="8"/>
  </r>
  <r>
    <x v="37"/>
    <x v="29"/>
    <n v="8"/>
  </r>
  <r>
    <x v="37"/>
    <x v="22"/>
    <n v="8"/>
  </r>
  <r>
    <x v="37"/>
    <x v="26"/>
    <n v="8"/>
  </r>
  <r>
    <x v="37"/>
    <x v="37"/>
    <n v="8"/>
  </r>
  <r>
    <x v="37"/>
    <x v="19"/>
    <n v="8"/>
  </r>
  <r>
    <x v="37"/>
    <x v="31"/>
    <n v="8"/>
  </r>
  <r>
    <x v="37"/>
    <x v="25"/>
    <n v="8"/>
  </r>
  <r>
    <x v="37"/>
    <x v="39"/>
    <n v="8"/>
  </r>
  <r>
    <x v="37"/>
    <x v="36"/>
    <n v="8"/>
  </r>
  <r>
    <x v="37"/>
    <x v="22"/>
    <n v="8"/>
  </r>
  <r>
    <x v="37"/>
    <x v="37"/>
    <n v="8"/>
  </r>
  <r>
    <x v="37"/>
    <x v="19"/>
    <n v="8"/>
  </r>
  <r>
    <x v="37"/>
    <x v="31"/>
    <n v="8"/>
  </r>
  <r>
    <x v="38"/>
    <x v="11"/>
    <n v="8"/>
  </r>
  <r>
    <x v="38"/>
    <x v="26"/>
    <n v="8"/>
  </r>
  <r>
    <x v="38"/>
    <x v="25"/>
    <n v="8"/>
  </r>
  <r>
    <x v="38"/>
    <x v="11"/>
    <n v="8"/>
  </r>
  <r>
    <x v="38"/>
    <x v="36"/>
    <n v="8"/>
  </r>
  <r>
    <x v="38"/>
    <x v="29"/>
    <n v="8"/>
  </r>
  <r>
    <x v="38"/>
    <x v="26"/>
    <n v="8"/>
  </r>
  <r>
    <x v="38"/>
    <x v="37"/>
    <n v="8"/>
  </r>
  <r>
    <x v="38"/>
    <x v="19"/>
    <n v="8"/>
  </r>
  <r>
    <x v="38"/>
    <x v="31"/>
    <n v="8"/>
  </r>
  <r>
    <x v="38"/>
    <x v="25"/>
    <n v="8"/>
  </r>
  <r>
    <x v="38"/>
    <x v="39"/>
    <n v="8"/>
  </r>
  <r>
    <x v="38"/>
    <x v="11"/>
    <n v="8"/>
  </r>
  <r>
    <x v="38"/>
    <x v="36"/>
    <n v="8"/>
  </r>
  <r>
    <x v="38"/>
    <x v="29"/>
    <n v="8"/>
  </r>
  <r>
    <x v="38"/>
    <x v="26"/>
    <n v="8"/>
  </r>
  <r>
    <x v="38"/>
    <x v="37"/>
    <n v="8"/>
  </r>
  <r>
    <x v="38"/>
    <x v="19"/>
    <n v="8"/>
  </r>
  <r>
    <x v="38"/>
    <x v="31"/>
    <n v="8"/>
  </r>
  <r>
    <x v="38"/>
    <x v="25"/>
    <n v="8"/>
  </r>
  <r>
    <x v="38"/>
    <x v="39"/>
    <n v="8"/>
  </r>
  <r>
    <x v="38"/>
    <x v="11"/>
    <n v="8"/>
  </r>
  <r>
    <x v="38"/>
    <x v="36"/>
    <n v="8"/>
  </r>
  <r>
    <x v="38"/>
    <x v="29"/>
    <n v="8"/>
  </r>
  <r>
    <x v="38"/>
    <x v="26"/>
    <n v="8"/>
  </r>
  <r>
    <x v="38"/>
    <x v="37"/>
    <n v="8"/>
  </r>
  <r>
    <x v="38"/>
    <x v="19"/>
    <n v="8"/>
  </r>
  <r>
    <x v="38"/>
    <x v="31"/>
    <n v="8"/>
  </r>
  <r>
    <x v="38"/>
    <x v="25"/>
    <n v="8"/>
  </r>
  <r>
    <x v="38"/>
    <x v="39"/>
    <n v="8"/>
  </r>
  <r>
    <x v="38"/>
    <x v="11"/>
    <n v="8"/>
  </r>
  <r>
    <x v="38"/>
    <x v="36"/>
    <n v="8"/>
  </r>
  <r>
    <x v="38"/>
    <x v="29"/>
    <n v="8"/>
  </r>
  <r>
    <x v="38"/>
    <x v="26"/>
    <n v="8"/>
  </r>
  <r>
    <x v="38"/>
    <x v="37"/>
    <n v="8"/>
  </r>
  <r>
    <x v="38"/>
    <x v="19"/>
    <n v="8"/>
  </r>
  <r>
    <x v="38"/>
    <x v="31"/>
    <n v="8"/>
  </r>
  <r>
    <x v="38"/>
    <x v="25"/>
    <n v="8"/>
  </r>
  <r>
    <x v="38"/>
    <x v="36"/>
    <n v="8"/>
  </r>
  <r>
    <x v="38"/>
    <x v="37"/>
    <n v="8"/>
  </r>
  <r>
    <x v="39"/>
    <x v="26"/>
    <n v="8"/>
  </r>
  <r>
    <x v="39"/>
    <x v="11"/>
    <n v="8"/>
  </r>
  <r>
    <x v="39"/>
    <x v="26"/>
    <n v="8"/>
  </r>
  <r>
    <x v="39"/>
    <x v="50"/>
    <n v="16"/>
  </r>
  <r>
    <x v="39"/>
    <x v="25"/>
    <n v="16"/>
  </r>
  <r>
    <x v="39"/>
    <x v="11"/>
    <n v="8"/>
  </r>
  <r>
    <x v="39"/>
    <x v="42"/>
    <n v="16"/>
  </r>
  <r>
    <x v="39"/>
    <x v="36"/>
    <n v="16"/>
  </r>
  <r>
    <x v="39"/>
    <x v="29"/>
    <n v="8"/>
  </r>
  <r>
    <x v="39"/>
    <x v="52"/>
    <n v="8"/>
  </r>
  <r>
    <x v="39"/>
    <x v="26"/>
    <n v="8"/>
  </r>
  <r>
    <x v="39"/>
    <x v="50"/>
    <n v="16"/>
  </r>
  <r>
    <x v="39"/>
    <x v="37"/>
    <n v="8"/>
  </r>
  <r>
    <x v="39"/>
    <x v="19"/>
    <n v="8"/>
  </r>
  <r>
    <x v="39"/>
    <x v="31"/>
    <n v="16"/>
  </r>
  <r>
    <x v="39"/>
    <x v="25"/>
    <n v="16"/>
  </r>
  <r>
    <x v="39"/>
    <x v="11"/>
    <n v="8"/>
  </r>
  <r>
    <x v="39"/>
    <x v="42"/>
    <n v="16"/>
  </r>
  <r>
    <x v="39"/>
    <x v="36"/>
    <n v="16"/>
  </r>
  <r>
    <x v="39"/>
    <x v="29"/>
    <n v="8"/>
  </r>
  <r>
    <x v="39"/>
    <x v="52"/>
    <n v="8"/>
  </r>
  <r>
    <x v="39"/>
    <x v="26"/>
    <n v="8"/>
  </r>
  <r>
    <x v="39"/>
    <x v="50"/>
    <n v="16"/>
  </r>
  <r>
    <x v="39"/>
    <x v="37"/>
    <n v="8"/>
  </r>
  <r>
    <x v="39"/>
    <x v="19"/>
    <n v="8"/>
  </r>
  <r>
    <x v="39"/>
    <x v="31"/>
    <n v="16"/>
  </r>
  <r>
    <x v="39"/>
    <x v="25"/>
    <n v="16"/>
  </r>
  <r>
    <x v="39"/>
    <x v="11"/>
    <n v="8"/>
  </r>
  <r>
    <x v="39"/>
    <x v="42"/>
    <n v="16"/>
  </r>
  <r>
    <x v="39"/>
    <x v="36"/>
    <n v="16"/>
  </r>
  <r>
    <x v="39"/>
    <x v="29"/>
    <n v="8"/>
  </r>
  <r>
    <x v="39"/>
    <x v="52"/>
    <n v="8"/>
  </r>
  <r>
    <x v="39"/>
    <x v="26"/>
    <n v="8"/>
  </r>
  <r>
    <x v="39"/>
    <x v="50"/>
    <n v="16"/>
  </r>
  <r>
    <x v="39"/>
    <x v="37"/>
    <n v="8"/>
  </r>
  <r>
    <x v="39"/>
    <x v="19"/>
    <n v="8"/>
  </r>
  <r>
    <x v="39"/>
    <x v="31"/>
    <n v="16"/>
  </r>
  <r>
    <x v="39"/>
    <x v="25"/>
    <n v="16"/>
  </r>
  <r>
    <x v="39"/>
    <x v="11"/>
    <n v="10"/>
  </r>
  <r>
    <x v="39"/>
    <x v="42"/>
    <n v="16"/>
  </r>
  <r>
    <x v="39"/>
    <x v="36"/>
    <n v="16"/>
  </r>
  <r>
    <x v="39"/>
    <x v="29"/>
    <n v="8"/>
  </r>
  <r>
    <x v="39"/>
    <x v="52"/>
    <n v="8"/>
  </r>
  <r>
    <x v="39"/>
    <x v="26"/>
    <n v="8"/>
  </r>
  <r>
    <x v="39"/>
    <x v="50"/>
    <n v="16"/>
  </r>
  <r>
    <x v="39"/>
    <x v="37"/>
    <n v="8"/>
  </r>
  <r>
    <x v="39"/>
    <x v="19"/>
    <n v="8"/>
  </r>
  <r>
    <x v="39"/>
    <x v="31"/>
    <n v="16"/>
  </r>
  <r>
    <x v="39"/>
    <x v="25"/>
    <n v="16"/>
  </r>
  <r>
    <x v="39"/>
    <x v="42"/>
    <n v="16"/>
  </r>
  <r>
    <x v="39"/>
    <x v="36"/>
    <n v="16"/>
  </r>
  <r>
    <x v="39"/>
    <x v="52"/>
    <n v="8"/>
  </r>
  <r>
    <x v="39"/>
    <x v="26"/>
    <n v="1"/>
  </r>
  <r>
    <x v="39"/>
    <x v="37"/>
    <n v="8"/>
  </r>
  <r>
    <x v="39"/>
    <x v="19"/>
    <n v="8"/>
  </r>
  <r>
    <x v="39"/>
    <x v="31"/>
    <n v="16"/>
  </r>
  <r>
    <x v="40"/>
    <x v="26"/>
    <n v="16"/>
  </r>
  <r>
    <x v="40"/>
    <x v="50"/>
    <n v="16"/>
  </r>
  <r>
    <x v="40"/>
    <x v="25"/>
    <n v="8"/>
  </r>
  <r>
    <x v="40"/>
    <x v="42"/>
    <n v="16"/>
  </r>
  <r>
    <x v="40"/>
    <x v="36"/>
    <n v="16"/>
  </r>
  <r>
    <x v="40"/>
    <x v="29"/>
    <n v="8"/>
  </r>
  <r>
    <x v="40"/>
    <x v="26"/>
    <n v="16"/>
  </r>
  <r>
    <x v="40"/>
    <x v="50"/>
    <n v="16"/>
  </r>
  <r>
    <x v="40"/>
    <x v="37"/>
    <n v="8"/>
  </r>
  <r>
    <x v="40"/>
    <x v="19"/>
    <n v="16"/>
  </r>
  <r>
    <x v="40"/>
    <x v="31"/>
    <n v="16"/>
  </r>
  <r>
    <x v="40"/>
    <x v="25"/>
    <n v="8"/>
  </r>
  <r>
    <x v="40"/>
    <x v="42"/>
    <n v="16"/>
  </r>
  <r>
    <x v="40"/>
    <x v="36"/>
    <n v="16"/>
  </r>
  <r>
    <x v="40"/>
    <x v="29"/>
    <n v="8"/>
  </r>
  <r>
    <x v="40"/>
    <x v="52"/>
    <n v="8"/>
  </r>
  <r>
    <x v="40"/>
    <x v="26"/>
    <n v="16"/>
  </r>
  <r>
    <x v="40"/>
    <x v="50"/>
    <n v="16"/>
  </r>
  <r>
    <x v="40"/>
    <x v="37"/>
    <n v="8"/>
  </r>
  <r>
    <x v="40"/>
    <x v="19"/>
    <n v="16"/>
  </r>
  <r>
    <x v="40"/>
    <x v="31"/>
    <n v="16"/>
  </r>
  <r>
    <x v="40"/>
    <x v="25"/>
    <n v="16"/>
  </r>
  <r>
    <x v="40"/>
    <x v="42"/>
    <n v="16"/>
  </r>
  <r>
    <x v="40"/>
    <x v="36"/>
    <n v="16"/>
  </r>
  <r>
    <x v="40"/>
    <x v="29"/>
    <n v="8"/>
  </r>
  <r>
    <x v="40"/>
    <x v="52"/>
    <n v="8"/>
  </r>
  <r>
    <x v="40"/>
    <x v="26"/>
    <n v="16"/>
  </r>
  <r>
    <x v="40"/>
    <x v="50"/>
    <n v="16"/>
  </r>
  <r>
    <x v="40"/>
    <x v="37"/>
    <n v="8"/>
  </r>
  <r>
    <x v="40"/>
    <x v="19"/>
    <n v="16"/>
  </r>
  <r>
    <x v="40"/>
    <x v="31"/>
    <n v="16"/>
  </r>
  <r>
    <x v="40"/>
    <x v="25"/>
    <n v="16"/>
  </r>
  <r>
    <x v="40"/>
    <x v="42"/>
    <n v="16"/>
  </r>
  <r>
    <x v="40"/>
    <x v="36"/>
    <n v="16"/>
  </r>
  <r>
    <x v="40"/>
    <x v="29"/>
    <n v="8"/>
  </r>
  <r>
    <x v="40"/>
    <x v="52"/>
    <n v="8"/>
  </r>
  <r>
    <x v="40"/>
    <x v="26"/>
    <n v="16"/>
  </r>
  <r>
    <x v="40"/>
    <x v="50"/>
    <n v="16"/>
  </r>
  <r>
    <x v="40"/>
    <x v="37"/>
    <n v="8"/>
  </r>
  <r>
    <x v="40"/>
    <x v="19"/>
    <n v="16"/>
  </r>
  <r>
    <x v="40"/>
    <x v="31"/>
    <n v="16"/>
  </r>
  <r>
    <x v="40"/>
    <x v="25"/>
    <n v="8"/>
  </r>
  <r>
    <x v="40"/>
    <x v="42"/>
    <n v="16"/>
  </r>
  <r>
    <x v="40"/>
    <x v="36"/>
    <n v="16"/>
  </r>
  <r>
    <x v="40"/>
    <x v="52"/>
    <n v="8"/>
  </r>
  <r>
    <x v="40"/>
    <x v="37"/>
    <n v="8"/>
  </r>
  <r>
    <x v="40"/>
    <x v="19"/>
    <n v="16"/>
  </r>
  <r>
    <x v="40"/>
    <x v="31"/>
    <n v="16"/>
  </r>
  <r>
    <x v="41"/>
    <x v="37"/>
    <n v="8"/>
  </r>
  <r>
    <x v="41"/>
    <x v="37"/>
    <n v="8"/>
  </r>
  <r>
    <x v="41"/>
    <x v="37"/>
    <n v="8"/>
  </r>
  <r>
    <x v="41"/>
    <x v="37"/>
    <n v="8"/>
  </r>
  <r>
    <x v="41"/>
    <x v="37"/>
    <n v="8"/>
  </r>
  <r>
    <x v="51"/>
    <x v="37"/>
    <n v="8"/>
  </r>
  <r>
    <x v="51"/>
    <x v="37"/>
    <n v="8"/>
  </r>
  <r>
    <x v="51"/>
    <x v="37"/>
    <n v="8"/>
  </r>
  <r>
    <x v="51"/>
    <x v="37"/>
    <n v="8"/>
  </r>
  <r>
    <x v="42"/>
    <x v="36"/>
    <n v="8"/>
  </r>
  <r>
    <x v="42"/>
    <x v="29"/>
    <n v="8"/>
  </r>
  <r>
    <x v="42"/>
    <x v="22"/>
    <n v="8"/>
  </r>
  <r>
    <x v="42"/>
    <x v="37"/>
    <n v="8"/>
  </r>
  <r>
    <x v="42"/>
    <x v="31"/>
    <n v="4"/>
  </r>
  <r>
    <x v="42"/>
    <x v="36"/>
    <n v="8"/>
  </r>
  <r>
    <x v="42"/>
    <x v="29"/>
    <n v="8"/>
  </r>
  <r>
    <x v="42"/>
    <x v="22"/>
    <n v="8"/>
  </r>
  <r>
    <x v="42"/>
    <x v="37"/>
    <n v="8"/>
  </r>
  <r>
    <x v="42"/>
    <x v="31"/>
    <n v="4"/>
  </r>
  <r>
    <x v="42"/>
    <x v="36"/>
    <n v="8"/>
  </r>
  <r>
    <x v="42"/>
    <x v="29"/>
    <n v="8"/>
  </r>
  <r>
    <x v="42"/>
    <x v="22"/>
    <n v="8"/>
  </r>
  <r>
    <x v="42"/>
    <x v="37"/>
    <n v="8"/>
  </r>
  <r>
    <x v="42"/>
    <x v="31"/>
    <n v="4"/>
  </r>
  <r>
    <x v="42"/>
    <x v="36"/>
    <n v="8"/>
  </r>
  <r>
    <x v="42"/>
    <x v="29"/>
    <n v="8"/>
  </r>
  <r>
    <x v="42"/>
    <x v="22"/>
    <n v="8"/>
  </r>
  <r>
    <x v="42"/>
    <x v="37"/>
    <n v="8"/>
  </r>
  <r>
    <x v="42"/>
    <x v="31"/>
    <n v="4"/>
  </r>
  <r>
    <x v="42"/>
    <x v="36"/>
    <n v="8"/>
  </r>
  <r>
    <x v="42"/>
    <x v="37"/>
    <n v="8"/>
  </r>
  <r>
    <x v="42"/>
    <x v="31"/>
    <n v="4"/>
  </r>
  <r>
    <x v="43"/>
    <x v="36"/>
    <n v="8"/>
  </r>
  <r>
    <x v="43"/>
    <x v="29"/>
    <n v="8"/>
  </r>
  <r>
    <x v="43"/>
    <x v="22"/>
    <n v="8"/>
  </r>
  <r>
    <x v="43"/>
    <x v="37"/>
    <n v="8"/>
  </r>
  <r>
    <x v="43"/>
    <x v="31"/>
    <n v="4"/>
  </r>
  <r>
    <x v="43"/>
    <x v="36"/>
    <n v="8"/>
  </r>
  <r>
    <x v="43"/>
    <x v="29"/>
    <n v="8"/>
  </r>
  <r>
    <x v="43"/>
    <x v="22"/>
    <n v="8"/>
  </r>
  <r>
    <x v="43"/>
    <x v="37"/>
    <n v="8"/>
  </r>
  <r>
    <x v="43"/>
    <x v="31"/>
    <n v="4"/>
  </r>
  <r>
    <x v="43"/>
    <x v="36"/>
    <n v="8"/>
  </r>
  <r>
    <x v="43"/>
    <x v="29"/>
    <n v="8"/>
  </r>
  <r>
    <x v="43"/>
    <x v="22"/>
    <n v="8"/>
  </r>
  <r>
    <x v="43"/>
    <x v="37"/>
    <n v="8"/>
  </r>
  <r>
    <x v="43"/>
    <x v="31"/>
    <n v="4"/>
  </r>
  <r>
    <x v="43"/>
    <x v="36"/>
    <n v="8"/>
  </r>
  <r>
    <x v="43"/>
    <x v="37"/>
    <n v="8"/>
  </r>
  <r>
    <x v="43"/>
    <x v="31"/>
    <n v="4"/>
  </r>
  <r>
    <x v="43"/>
    <x v="36"/>
    <n v="8"/>
  </r>
  <r>
    <x v="43"/>
    <x v="37"/>
    <n v="8"/>
  </r>
  <r>
    <x v="43"/>
    <x v="31"/>
    <n v="4"/>
  </r>
  <r>
    <x v="44"/>
    <x v="36"/>
    <n v="8"/>
  </r>
  <r>
    <x v="44"/>
    <x v="29"/>
    <n v="8"/>
  </r>
  <r>
    <x v="44"/>
    <x v="22"/>
    <n v="8"/>
  </r>
  <r>
    <x v="44"/>
    <x v="37"/>
    <n v="8"/>
  </r>
  <r>
    <x v="44"/>
    <x v="31"/>
    <n v="4"/>
  </r>
  <r>
    <x v="44"/>
    <x v="36"/>
    <n v="8"/>
  </r>
  <r>
    <x v="44"/>
    <x v="29"/>
    <n v="8"/>
  </r>
  <r>
    <x v="44"/>
    <x v="22"/>
    <n v="8"/>
  </r>
  <r>
    <x v="44"/>
    <x v="37"/>
    <n v="8"/>
  </r>
  <r>
    <x v="44"/>
    <x v="31"/>
    <n v="4"/>
  </r>
  <r>
    <x v="44"/>
    <x v="36"/>
    <n v="8"/>
  </r>
  <r>
    <x v="44"/>
    <x v="29"/>
    <n v="8"/>
  </r>
  <r>
    <x v="44"/>
    <x v="22"/>
    <n v="8"/>
  </r>
  <r>
    <x v="44"/>
    <x v="37"/>
    <n v="8"/>
  </r>
  <r>
    <x v="44"/>
    <x v="31"/>
    <n v="4"/>
  </r>
  <r>
    <x v="44"/>
    <x v="36"/>
    <n v="8"/>
  </r>
  <r>
    <x v="44"/>
    <x v="37"/>
    <n v="8"/>
  </r>
  <r>
    <x v="44"/>
    <x v="31"/>
    <n v="4"/>
  </r>
  <r>
    <x v="44"/>
    <x v="36"/>
    <n v="8"/>
  </r>
  <r>
    <x v="44"/>
    <x v="37"/>
    <n v="8"/>
  </r>
  <r>
    <x v="44"/>
    <x v="31"/>
    <n v="4"/>
  </r>
  <r>
    <x v="45"/>
    <x v="36"/>
    <n v="8"/>
  </r>
  <r>
    <x v="45"/>
    <x v="22"/>
    <n v="8"/>
  </r>
  <r>
    <x v="45"/>
    <x v="37"/>
    <n v="8"/>
  </r>
  <r>
    <x v="45"/>
    <x v="36"/>
    <n v="8"/>
  </r>
  <r>
    <x v="45"/>
    <x v="22"/>
    <n v="8"/>
  </r>
  <r>
    <x v="45"/>
    <x v="37"/>
    <n v="8"/>
  </r>
  <r>
    <x v="45"/>
    <x v="36"/>
    <n v="8"/>
  </r>
  <r>
    <x v="45"/>
    <x v="22"/>
    <n v="8"/>
  </r>
  <r>
    <x v="45"/>
    <x v="37"/>
    <n v="8"/>
  </r>
  <r>
    <x v="45"/>
    <x v="36"/>
    <n v="8"/>
  </r>
  <r>
    <x v="45"/>
    <x v="37"/>
    <n v="8"/>
  </r>
  <r>
    <x v="45"/>
    <x v="36"/>
    <n v="8"/>
  </r>
  <r>
    <x v="45"/>
    <x v="37"/>
    <n v="8"/>
  </r>
  <r>
    <x v="46"/>
    <x v="36"/>
    <n v="8"/>
  </r>
  <r>
    <x v="46"/>
    <x v="22"/>
    <n v="8"/>
  </r>
  <r>
    <x v="46"/>
    <x v="37"/>
    <n v="8"/>
  </r>
  <r>
    <x v="46"/>
    <x v="31"/>
    <n v="4"/>
  </r>
  <r>
    <x v="46"/>
    <x v="36"/>
    <n v="8"/>
  </r>
  <r>
    <x v="46"/>
    <x v="22"/>
    <n v="8"/>
  </r>
  <r>
    <x v="46"/>
    <x v="37"/>
    <n v="8"/>
  </r>
  <r>
    <x v="46"/>
    <x v="31"/>
    <n v="4"/>
  </r>
  <r>
    <x v="46"/>
    <x v="36"/>
    <n v="8"/>
  </r>
  <r>
    <x v="46"/>
    <x v="22"/>
    <n v="8"/>
  </r>
  <r>
    <x v="46"/>
    <x v="37"/>
    <n v="8"/>
  </r>
  <r>
    <x v="46"/>
    <x v="31"/>
    <n v="4"/>
  </r>
  <r>
    <x v="46"/>
    <x v="36"/>
    <n v="8"/>
  </r>
  <r>
    <x v="46"/>
    <x v="37"/>
    <n v="8"/>
  </r>
  <r>
    <x v="46"/>
    <x v="31"/>
    <n v="4"/>
  </r>
  <r>
    <x v="46"/>
    <x v="36"/>
    <n v="8"/>
  </r>
  <r>
    <x v="46"/>
    <x v="37"/>
    <n v="8"/>
  </r>
  <r>
    <x v="46"/>
    <x v="31"/>
    <n v="4"/>
  </r>
  <r>
    <x v="47"/>
    <x v="36"/>
    <n v="8"/>
  </r>
  <r>
    <x v="47"/>
    <x v="22"/>
    <n v="8"/>
  </r>
  <r>
    <x v="47"/>
    <x v="37"/>
    <n v="8"/>
  </r>
  <r>
    <x v="47"/>
    <x v="31"/>
    <n v="4"/>
  </r>
  <r>
    <x v="47"/>
    <x v="36"/>
    <n v="8"/>
  </r>
  <r>
    <x v="47"/>
    <x v="22"/>
    <n v="8"/>
  </r>
  <r>
    <x v="47"/>
    <x v="37"/>
    <n v="8"/>
  </r>
  <r>
    <x v="47"/>
    <x v="31"/>
    <n v="4"/>
  </r>
  <r>
    <x v="47"/>
    <x v="36"/>
    <n v="8"/>
  </r>
  <r>
    <x v="47"/>
    <x v="22"/>
    <n v="8"/>
  </r>
  <r>
    <x v="47"/>
    <x v="37"/>
    <n v="8"/>
  </r>
  <r>
    <x v="47"/>
    <x v="31"/>
    <n v="4"/>
  </r>
  <r>
    <x v="47"/>
    <x v="36"/>
    <n v="8"/>
  </r>
  <r>
    <x v="47"/>
    <x v="37"/>
    <n v="8"/>
  </r>
  <r>
    <x v="47"/>
    <x v="31"/>
    <n v="4"/>
  </r>
  <r>
    <x v="47"/>
    <x v="36"/>
    <n v="8"/>
  </r>
  <r>
    <x v="47"/>
    <x v="37"/>
    <n v="8"/>
  </r>
  <r>
    <x v="47"/>
    <x v="31"/>
    <n v="4"/>
  </r>
  <r>
    <x v="48"/>
    <x v="36"/>
    <n v="8"/>
  </r>
  <r>
    <x v="48"/>
    <x v="29"/>
    <n v="8"/>
  </r>
  <r>
    <x v="48"/>
    <x v="22"/>
    <n v="8"/>
  </r>
  <r>
    <x v="48"/>
    <x v="37"/>
    <n v="8"/>
  </r>
  <r>
    <x v="48"/>
    <x v="31"/>
    <n v="4"/>
  </r>
  <r>
    <x v="48"/>
    <x v="36"/>
    <n v="8"/>
  </r>
  <r>
    <x v="48"/>
    <x v="29"/>
    <n v="8"/>
  </r>
  <r>
    <x v="48"/>
    <x v="22"/>
    <n v="8"/>
  </r>
  <r>
    <x v="48"/>
    <x v="37"/>
    <n v="8"/>
  </r>
  <r>
    <x v="48"/>
    <x v="31"/>
    <n v="4"/>
  </r>
  <r>
    <x v="48"/>
    <x v="36"/>
    <n v="8"/>
  </r>
  <r>
    <x v="48"/>
    <x v="29"/>
    <n v="8"/>
  </r>
  <r>
    <x v="48"/>
    <x v="22"/>
    <n v="8"/>
  </r>
  <r>
    <x v="48"/>
    <x v="37"/>
    <n v="8"/>
  </r>
  <r>
    <x v="48"/>
    <x v="31"/>
    <n v="4"/>
  </r>
  <r>
    <x v="48"/>
    <x v="36"/>
    <n v="8"/>
  </r>
  <r>
    <x v="48"/>
    <x v="37"/>
    <n v="8"/>
  </r>
  <r>
    <x v="48"/>
    <x v="31"/>
    <n v="4"/>
  </r>
  <r>
    <x v="48"/>
    <x v="36"/>
    <n v="8"/>
  </r>
  <r>
    <x v="48"/>
    <x v="37"/>
    <n v="8"/>
  </r>
  <r>
    <x v="48"/>
    <x v="31"/>
    <n v="4"/>
  </r>
  <r>
    <x v="49"/>
    <x v="36"/>
    <n v="8"/>
  </r>
  <r>
    <x v="49"/>
    <x v="29"/>
    <n v="8"/>
  </r>
  <r>
    <x v="49"/>
    <x v="22"/>
    <n v="8"/>
  </r>
  <r>
    <x v="49"/>
    <x v="37"/>
    <n v="8"/>
  </r>
  <r>
    <x v="49"/>
    <x v="31"/>
    <n v="4"/>
  </r>
  <r>
    <x v="49"/>
    <x v="36"/>
    <n v="8"/>
  </r>
  <r>
    <x v="49"/>
    <x v="29"/>
    <n v="8"/>
  </r>
  <r>
    <x v="49"/>
    <x v="22"/>
    <n v="8"/>
  </r>
  <r>
    <x v="49"/>
    <x v="37"/>
    <n v="8"/>
  </r>
  <r>
    <x v="49"/>
    <x v="31"/>
    <n v="4"/>
  </r>
  <r>
    <x v="49"/>
    <x v="36"/>
    <n v="8"/>
  </r>
  <r>
    <x v="49"/>
    <x v="29"/>
    <n v="8"/>
  </r>
  <r>
    <x v="49"/>
    <x v="22"/>
    <n v="8"/>
  </r>
  <r>
    <x v="49"/>
    <x v="37"/>
    <n v="8"/>
  </r>
  <r>
    <x v="49"/>
    <x v="31"/>
    <n v="4"/>
  </r>
  <r>
    <x v="49"/>
    <x v="36"/>
    <n v="8"/>
  </r>
  <r>
    <x v="49"/>
    <x v="37"/>
    <n v="8"/>
  </r>
  <r>
    <x v="49"/>
    <x v="31"/>
    <n v="4"/>
  </r>
  <r>
    <x v="49"/>
    <x v="36"/>
    <n v="8"/>
  </r>
  <r>
    <x v="49"/>
    <x v="37"/>
    <n v="8"/>
  </r>
  <r>
    <x v="49"/>
    <x v="31"/>
    <n v="4"/>
  </r>
  <r>
    <x v="50"/>
    <x v="36"/>
    <n v="8"/>
  </r>
  <r>
    <x v="50"/>
    <x v="29"/>
    <n v="8"/>
  </r>
  <r>
    <x v="50"/>
    <x v="22"/>
    <n v="8"/>
  </r>
  <r>
    <x v="50"/>
    <x v="37"/>
    <n v="8"/>
  </r>
  <r>
    <x v="50"/>
    <x v="31"/>
    <n v="4"/>
  </r>
  <r>
    <x v="50"/>
    <x v="36"/>
    <n v="8"/>
  </r>
  <r>
    <x v="50"/>
    <x v="29"/>
    <n v="8"/>
  </r>
  <r>
    <x v="50"/>
    <x v="22"/>
    <n v="8"/>
  </r>
  <r>
    <x v="50"/>
    <x v="37"/>
    <n v="8"/>
  </r>
  <r>
    <x v="50"/>
    <x v="31"/>
    <n v="4"/>
  </r>
  <r>
    <x v="50"/>
    <x v="36"/>
    <n v="8"/>
  </r>
  <r>
    <x v="50"/>
    <x v="29"/>
    <n v="8"/>
  </r>
  <r>
    <x v="50"/>
    <x v="22"/>
    <n v="8"/>
  </r>
  <r>
    <x v="50"/>
    <x v="37"/>
    <n v="8"/>
  </r>
  <r>
    <x v="50"/>
    <x v="31"/>
    <n v="4"/>
  </r>
  <r>
    <x v="50"/>
    <x v="36"/>
    <n v="8"/>
  </r>
  <r>
    <x v="50"/>
    <x v="37"/>
    <n v="8"/>
  </r>
  <r>
    <x v="50"/>
    <x v="31"/>
    <n v="4"/>
  </r>
  <r>
    <x v="50"/>
    <x v="36"/>
    <n v="8"/>
  </r>
  <r>
    <x v="50"/>
    <x v="37"/>
    <n v="8"/>
  </r>
  <r>
    <x v="50"/>
    <x v="31"/>
    <n v="4"/>
  </r>
  <r>
    <x v="52"/>
    <x v="36"/>
    <n v="8"/>
  </r>
  <r>
    <x v="52"/>
    <x v="37"/>
    <n v="8"/>
  </r>
  <r>
    <x v="52"/>
    <x v="31"/>
    <n v="4"/>
  </r>
  <r>
    <x v="52"/>
    <x v="36"/>
    <n v="8"/>
  </r>
  <r>
    <x v="52"/>
    <x v="37"/>
    <n v="8"/>
  </r>
  <r>
    <x v="52"/>
    <x v="31"/>
    <n v="4"/>
  </r>
  <r>
    <x v="15"/>
    <x v="1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20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3"/>
    <x v="1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4"/>
    <x v="20"/>
    <m/>
  </r>
  <r>
    <x v="26"/>
    <x v="26"/>
    <m/>
  </r>
  <r>
    <x v="26"/>
    <x v="26"/>
    <m/>
  </r>
  <r>
    <x v="26"/>
    <x v="26"/>
    <m/>
  </r>
  <r>
    <x v="26"/>
    <x v="26"/>
    <m/>
  </r>
  <r>
    <x v="26"/>
    <x v="26"/>
    <m/>
  </r>
  <r>
    <x v="26"/>
    <x v="26"/>
    <m/>
  </r>
  <r>
    <x v="28"/>
    <x v="1"/>
    <m/>
  </r>
  <r>
    <x v="28"/>
    <x v="1"/>
    <m/>
  </r>
  <r>
    <x v="27"/>
    <x v="20"/>
    <m/>
  </r>
  <r>
    <x v="28"/>
    <x v="1"/>
    <m/>
  </r>
  <r>
    <x v="28"/>
    <x v="1"/>
    <m/>
  </r>
  <r>
    <x v="28"/>
    <x v="1"/>
    <m/>
  </r>
  <r>
    <x v="28"/>
    <x v="1"/>
    <m/>
  </r>
  <r>
    <x v="30"/>
    <x v="39"/>
    <m/>
  </r>
  <r>
    <x v="30"/>
    <x v="39"/>
    <m/>
  </r>
  <r>
    <x v="30"/>
    <x v="39"/>
    <m/>
  </r>
  <r>
    <x v="30"/>
    <x v="39"/>
    <m/>
  </r>
  <r>
    <x v="30"/>
    <x v="39"/>
    <m/>
  </r>
  <r>
    <x v="30"/>
    <x v="39"/>
    <m/>
  </r>
  <r>
    <x v="38"/>
    <x v="50"/>
    <m/>
  </r>
  <r>
    <x v="11"/>
    <x v="7"/>
    <m/>
  </r>
  <r>
    <x v="11"/>
    <x v="7"/>
    <m/>
  </r>
  <r>
    <x v="11"/>
    <x v="7"/>
    <m/>
  </r>
  <r>
    <x v="11"/>
    <x v="7"/>
    <m/>
  </r>
  <r>
    <x v="6"/>
    <x v="29"/>
    <m/>
  </r>
  <r>
    <x v="6"/>
    <x v="7"/>
    <m/>
  </r>
  <r>
    <x v="6"/>
    <x v="7"/>
    <m/>
  </r>
  <r>
    <x v="6"/>
    <x v="7"/>
    <m/>
  </r>
  <r>
    <x v="6"/>
    <x v="7"/>
    <m/>
  </r>
  <r>
    <x v="6"/>
    <x v="7"/>
    <m/>
  </r>
  <r>
    <x v="6"/>
    <x v="7"/>
    <m/>
  </r>
  <r>
    <x v="6"/>
    <x v="7"/>
    <m/>
  </r>
  <r>
    <x v="6"/>
    <x v="7"/>
    <m/>
  </r>
  <r>
    <x v="7"/>
    <x v="7"/>
    <m/>
  </r>
  <r>
    <x v="7"/>
    <x v="7"/>
    <m/>
  </r>
  <r>
    <x v="7"/>
    <x v="7"/>
    <m/>
  </r>
  <r>
    <x v="7"/>
    <x v="7"/>
    <m/>
  </r>
  <r>
    <x v="7"/>
    <x v="7"/>
    <m/>
  </r>
  <r>
    <x v="7"/>
    <x v="7"/>
    <m/>
  </r>
  <r>
    <x v="7"/>
    <x v="7"/>
    <m/>
  </r>
  <r>
    <x v="7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1"/>
    <x v="7"/>
    <m/>
  </r>
  <r>
    <x v="10"/>
    <x v="22"/>
    <m/>
  </r>
  <r>
    <x v="10"/>
    <x v="22"/>
    <m/>
  </r>
  <r>
    <x v="10"/>
    <x v="22"/>
    <m/>
  </r>
  <r>
    <x v="10"/>
    <x v="22"/>
    <m/>
  </r>
  <r>
    <x v="10"/>
    <x v="22"/>
    <m/>
  </r>
  <r>
    <x v="10"/>
    <x v="22"/>
    <m/>
  </r>
  <r>
    <x v="11"/>
    <x v="7"/>
    <m/>
  </r>
  <r>
    <x v="11"/>
    <x v="7"/>
    <m/>
  </r>
  <r>
    <x v="11"/>
    <x v="7"/>
    <m/>
  </r>
  <r>
    <x v="11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5"/>
    <x v="11"/>
    <m/>
  </r>
  <r>
    <x v="15"/>
    <x v="11"/>
    <m/>
  </r>
  <r>
    <x v="15"/>
    <x v="11"/>
    <m/>
  </r>
  <r>
    <x v="15"/>
    <x v="11"/>
    <m/>
  </r>
  <r>
    <x v="15"/>
    <x v="11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6"/>
    <x v="7"/>
    <m/>
  </r>
  <r>
    <x v="19"/>
    <x v="7"/>
    <m/>
  </r>
  <r>
    <x v="19"/>
    <x v="7"/>
    <m/>
  </r>
  <r>
    <x v="19"/>
    <x v="7"/>
    <m/>
  </r>
  <r>
    <x v="19"/>
    <x v="7"/>
    <m/>
  </r>
  <r>
    <x v="19"/>
    <x v="7"/>
    <m/>
  </r>
  <r>
    <x v="19"/>
    <x v="7"/>
    <m/>
  </r>
  <r>
    <x v="18"/>
    <x v="11"/>
    <m/>
  </r>
  <r>
    <x v="18"/>
    <x v="11"/>
    <m/>
  </r>
  <r>
    <x v="18"/>
    <x v="11"/>
    <m/>
  </r>
  <r>
    <x v="18"/>
    <x v="11"/>
    <m/>
  </r>
  <r>
    <x v="18"/>
    <x v="11"/>
    <m/>
  </r>
  <r>
    <x v="18"/>
    <x v="11"/>
    <m/>
  </r>
  <r>
    <x v="19"/>
    <x v="7"/>
    <m/>
  </r>
  <r>
    <x v="19"/>
    <x v="7"/>
    <m/>
  </r>
  <r>
    <x v="19"/>
    <x v="7"/>
    <m/>
  </r>
  <r>
    <x v="19"/>
    <x v="7"/>
    <m/>
  </r>
  <r>
    <x v="19"/>
    <x v="7"/>
    <m/>
  </r>
  <r>
    <x v="19"/>
    <x v="7"/>
    <m/>
  </r>
  <r>
    <x v="19"/>
    <x v="2"/>
    <m/>
  </r>
  <r>
    <x v="19"/>
    <x v="2"/>
    <m/>
  </r>
  <r>
    <x v="23"/>
    <x v="7"/>
    <m/>
  </r>
  <r>
    <x v="23"/>
    <x v="7"/>
    <m/>
  </r>
  <r>
    <x v="23"/>
    <x v="7"/>
    <m/>
  </r>
  <r>
    <x v="23"/>
    <x v="7"/>
    <m/>
  </r>
  <r>
    <x v="22"/>
    <x v="20"/>
    <m/>
  </r>
  <r>
    <x v="22"/>
    <x v="20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3"/>
    <x v="7"/>
    <m/>
  </r>
  <r>
    <x v="27"/>
    <x v="7"/>
    <m/>
  </r>
  <r>
    <x v="27"/>
    <x v="7"/>
    <m/>
  </r>
  <r>
    <x v="27"/>
    <x v="7"/>
    <m/>
  </r>
  <r>
    <x v="27"/>
    <x v="7"/>
    <m/>
  </r>
  <r>
    <x v="25"/>
    <x v="22"/>
    <m/>
  </r>
  <r>
    <x v="25"/>
    <x v="22"/>
    <m/>
  </r>
  <r>
    <x v="25"/>
    <x v="22"/>
    <m/>
  </r>
  <r>
    <x v="25"/>
    <x v="22"/>
    <m/>
  </r>
  <r>
    <x v="25"/>
    <x v="22"/>
    <m/>
  </r>
  <r>
    <x v="25"/>
    <x v="22"/>
    <m/>
  </r>
  <r>
    <x v="27"/>
    <x v="7"/>
    <m/>
  </r>
  <r>
    <x v="27"/>
    <x v="7"/>
    <m/>
  </r>
  <r>
    <x v="42"/>
    <x v="7"/>
    <m/>
  </r>
  <r>
    <x v="42"/>
    <x v="7"/>
    <m/>
  </r>
  <r>
    <x v="27"/>
    <x v="7"/>
    <m/>
  </r>
  <r>
    <x v="27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29"/>
    <x v="20"/>
    <m/>
  </r>
  <r>
    <x v="42"/>
    <x v="7"/>
    <m/>
  </r>
  <r>
    <x v="42"/>
    <x v="7"/>
    <m/>
  </r>
  <r>
    <x v="42"/>
    <x v="7"/>
    <m/>
  </r>
  <r>
    <x v="42"/>
    <x v="7"/>
    <m/>
  </r>
  <r>
    <x v="29"/>
    <x v="20"/>
    <m/>
  </r>
  <r>
    <x v="42"/>
    <x v="7"/>
    <m/>
  </r>
  <r>
    <x v="42"/>
    <x v="7"/>
    <m/>
  </r>
  <r>
    <x v="33"/>
    <x v="19"/>
    <m/>
  </r>
  <r>
    <x v="33"/>
    <x v="25"/>
    <m/>
  </r>
  <r>
    <x v="42"/>
    <x v="7"/>
    <m/>
  </r>
  <r>
    <x v="42"/>
    <x v="7"/>
    <m/>
  </r>
  <r>
    <x v="38"/>
    <x v="1"/>
    <m/>
  </r>
  <r>
    <x v="38"/>
    <x v="1"/>
    <m/>
  </r>
  <r>
    <x v="38"/>
    <x v="19"/>
    <m/>
  </r>
  <r>
    <x v="38"/>
    <x v="25"/>
    <m/>
  </r>
  <r>
    <x v="38"/>
    <x v="1"/>
    <m/>
  </r>
  <r>
    <x v="38"/>
    <x v="1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2"/>
    <x v="7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47"/>
    <x v="1"/>
    <m/>
  </r>
  <r>
    <x v="53"/>
    <x v="53"/>
    <m/>
  </r>
  <r>
    <x v="53"/>
    <x v="5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4"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35"/>
    <s v="3029633312523951"/>
    <s v="1.01.00"/>
    <s v="FP Labor -Billable Cost"/>
    <s v="Labor"/>
    <s v="CO-C"/>
    <d v="2026-01-27T00:00:00"/>
    <x v="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76"/>
    <s v="3029632338277161"/>
    <s v="1.01.00"/>
    <s v="FP Labor -Billable Cost"/>
    <s v="Labor"/>
    <s v="CO-C"/>
    <d v="2026-01-27T00:00:00"/>
    <x v="0"/>
    <x v="1"/>
    <s v="Employee"/>
    <s v="8"/>
    <s v="ORCL EG"/>
    <s v="501646 - E6M-EMEA Tech Delivery - IaaS"/>
    <s v="008U"/>
    <s v="Y"/>
    <s v="Y"/>
    <s v="Unrecognized"/>
    <n v="8"/>
    <s v="AED"/>
    <n v="107.33"/>
    <n v="943.05"/>
    <n v="858.64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57"/>
    <s v="3029632888143801"/>
    <s v="1.01.00"/>
    <s v="FP Labor -Billable Cost"/>
    <s v="Labor"/>
    <s v="CO-C"/>
    <d v="2026-01-27T00:00:00"/>
    <x v="0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856"/>
    <s v="1527868095:1"/>
    <s v="1.01.00"/>
    <s v="FP Labor -Billable Cost"/>
    <s v="Labor"/>
    <s v="CO-C"/>
    <d v="2026-01-27T00:00:00"/>
    <x v="0"/>
    <x v="3"/>
    <s v="Employee"/>
    <s v="7"/>
    <s v="ORCL IN OSSI"/>
    <s v="504826 - 1CV:GSC-Business Analytics - PaaS"/>
    <s v="009B"/>
    <s v="Y"/>
    <s v="Y"/>
    <s v="Unrecognized"/>
    <n v="8"/>
    <s v="AED"/>
    <n v="112.19"/>
    <n v="813.38"/>
    <n v="897.53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60"/>
    <s v="3029631736432251"/>
    <s v="1.01.00"/>
    <s v="FP Labor -Billable Cost"/>
    <s v="Labor"/>
    <s v="CO-C"/>
    <d v="2026-01-27T00:00:00"/>
    <x v="0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34"/>
    <s v="3029633312523981"/>
    <s v="1.01.00"/>
    <s v="FP Labor -Billable Cost"/>
    <s v="Labor"/>
    <s v="CO-C"/>
    <d v="2026-01-28T00:00:00"/>
    <x v="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74"/>
    <s v="3029621209708842"/>
    <s v="1.01.00"/>
    <s v="FP Labor -Billable Cost"/>
    <s v="Labor"/>
    <s v="CO-C"/>
    <d v="2026-01-28T00:00:00"/>
    <x v="0"/>
    <x v="1"/>
    <s v="Employee"/>
    <s v="8"/>
    <s v="ORCL EG"/>
    <s v="501646 - E6M-EMEA Tech Delivery - IaaS"/>
    <s v="008U"/>
    <s v="Y"/>
    <s v="Y"/>
    <s v="Unrecognized"/>
    <n v="8"/>
    <s v="AED"/>
    <n v="107.58"/>
    <n v="943.05"/>
    <n v="860.65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55"/>
    <s v="3029632888143821"/>
    <s v="1.01.00"/>
    <s v="FP Labor -Billable Cost"/>
    <s v="Labor"/>
    <s v="CO-C"/>
    <d v="2026-01-28T00:00:00"/>
    <x v="0"/>
    <x v="2"/>
    <s v="Billable Contractor"/>
    <m/>
    <s v="ORCL EG"/>
    <s v="509485 - 73M: EMEA Business Analytics - PaaS"/>
    <s v="008U"/>
    <s v="Y"/>
    <s v="Y"/>
    <s v="Unrecognized"/>
    <n v="8"/>
    <s v="AED"/>
    <n v="68.86"/>
    <n v="754.44"/>
    <n v="550.88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755"/>
    <s v="1527868094:1"/>
    <s v="1.01.00"/>
    <s v="FP Labor -Billable Cost"/>
    <s v="Labor"/>
    <s v="CO-C"/>
    <d v="2026-01-28T00:00:00"/>
    <x v="0"/>
    <x v="3"/>
    <s v="Employee"/>
    <s v="7"/>
    <s v="ORCL IN OSSI"/>
    <s v="504826 - 1CV:GSC-Business Analytics - PaaS"/>
    <s v="009B"/>
    <s v="Y"/>
    <s v="Y"/>
    <s v="Unrecognized"/>
    <n v="8"/>
    <s v="AED"/>
    <n v="112.48"/>
    <n v="813.38"/>
    <n v="899.85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59"/>
    <s v="3029597467420032"/>
    <s v="1.01.00"/>
    <s v="FP Labor -Billable Cost"/>
    <s v="Labor"/>
    <s v="CO-C"/>
    <d v="2026-01-28T00:00:00"/>
    <x v="0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33"/>
    <s v="3029612388930572"/>
    <s v="1.01.00"/>
    <s v="FP Labor -Billable Cost"/>
    <s v="Labor"/>
    <s v="CO-C"/>
    <d v="2026-01-29T00:00:00"/>
    <x v="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61"/>
    <s v="3029632338277201"/>
    <s v="1.01.00"/>
    <s v="FP Labor -Billable Cost"/>
    <s v="Labor"/>
    <s v="CO-C"/>
    <d v="2026-01-29T00:00:00"/>
    <x v="0"/>
    <x v="1"/>
    <s v="Employee"/>
    <s v="8"/>
    <s v="ORCL EG"/>
    <s v="501646 - E6M-EMEA Tech Delivery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53"/>
    <s v="3029632888143841"/>
    <s v="1.01.00"/>
    <s v="FP Labor -Billable Cost"/>
    <s v="Labor"/>
    <s v="CO-C"/>
    <d v="2026-01-29T00:00:00"/>
    <x v="0"/>
    <x v="2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813"/>
    <s v="1527868093:1"/>
    <s v="1.01.00"/>
    <s v="FP Labor -Billable Cost"/>
    <s v="Labor"/>
    <s v="CO-C"/>
    <d v="2026-01-29T00:00:00"/>
    <x v="0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56"/>
    <s v="3029597467420062"/>
    <s v="1.01.00"/>
    <s v="FP Labor -Billable Cost"/>
    <s v="Labor"/>
    <s v="CO-C"/>
    <d v="2026-01-29T00:00:00"/>
    <x v="0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31"/>
    <s v="3029612388930592"/>
    <s v="1.01.00"/>
    <s v="FP Labor -Billable Cost"/>
    <s v="Labor"/>
    <s v="CO-C"/>
    <d v="2026-01-30T00:00:00"/>
    <x v="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87612"/>
    <s v="3029631884868481"/>
    <s v="1.01.00"/>
    <s v="FP Labor -Billable Cost"/>
    <s v="Labor"/>
    <s v="CO-C"/>
    <d v="2026-01-30T00:00:00"/>
    <x v="0"/>
    <x v="5"/>
    <s v="Employee"/>
    <s v="7"/>
    <s v="ORCL AE"/>
    <s v="509505 - 75M: EMEA Digital - PaaS"/>
    <s v="0069"/>
    <s v="Y"/>
    <s v="Y"/>
    <s v="Unrecognized"/>
    <n v="12"/>
    <s v="AED"/>
    <n v="433.37"/>
    <n v="813.38"/>
    <n v="5200.4399999999996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52"/>
    <s v="3029632888143861"/>
    <s v="1.01.00"/>
    <s v="FP Labor -Billable Cost"/>
    <s v="Labor"/>
    <s v="CO-C"/>
    <d v="2026-01-30T00:00:00"/>
    <x v="0"/>
    <x v="2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931"/>
    <s v="1527868092:1"/>
    <s v="1.01.00"/>
    <s v="FP Labor -Billable Cost"/>
    <s v="Labor"/>
    <s v="CO-C"/>
    <d v="2026-01-30T00:00:00"/>
    <x v="0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54"/>
    <s v="3029597467420082"/>
    <s v="1.01.00"/>
    <s v="FP Labor -Billable Cost"/>
    <s v="Labor"/>
    <s v="CO-C"/>
    <d v="2026-01-30T00:00:00"/>
    <x v="0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78"/>
    <s v="3029633312519661"/>
    <s v="1.01.00"/>
    <s v="FP Labor -Billable Cost"/>
    <s v="Labor"/>
    <s v="CO-C"/>
    <d v="2026-02-01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155"/>
    <s v="3029627473308912"/>
    <s v="1.01.00"/>
    <s v="FP Labor -Billable Cost"/>
    <s v="Labor"/>
    <s v="CO-C"/>
    <d v="2026-02-01T00:00:00"/>
    <x v="1"/>
    <x v="1"/>
    <s v="Employee"/>
    <s v="8"/>
    <s v="ORCL EG"/>
    <s v="501646 - E6M-EMEA Tech Delivery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154"/>
    <s v="3029627473308932"/>
    <s v="1.01.00"/>
    <s v="FP Labor -Billable Cost"/>
    <s v="Labor"/>
    <s v="CO-C"/>
    <d v="2026-02-02T00:00:00"/>
    <x v="1"/>
    <x v="1"/>
    <s v="Employee"/>
    <s v="8"/>
    <s v="ORCL EG"/>
    <s v="501646 - E6M-EMEA Tech Delivery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65"/>
    <s v="3029632895225571"/>
    <s v="1.01.00"/>
    <s v="FP Labor -Billable Cost"/>
    <s v="Labor"/>
    <s v="CO-C"/>
    <d v="2026-02-02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235"/>
    <s v="3029636936019501"/>
    <s v="1.01.00"/>
    <s v="FP Labor -Billable Cost"/>
    <s v="Labor"/>
    <s v="CO-C"/>
    <d v="2026-02-02T00:00:00"/>
    <x v="1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1067"/>
    <s v="1527868111:1"/>
    <s v="1.01.00"/>
    <s v="FP Labor -Billable Cost"/>
    <s v="Labor"/>
    <s v="CO-C"/>
    <d v="2026-02-02T00:00:00"/>
    <x v="1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01"/>
    <s v="3029616334278252"/>
    <s v="1.01.00"/>
    <s v="FP Labor -Billable Cost"/>
    <s v="Labor"/>
    <s v="CO-C"/>
    <d v="2026-02-02T00:00:00"/>
    <x v="1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77"/>
    <s v="3029633312519711"/>
    <s v="1.01.00"/>
    <s v="FP Labor -Billable Cost"/>
    <s v="Labor"/>
    <s v="CO-C"/>
    <d v="2026-02-03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33"/>
    <s v="3029627473308952"/>
    <s v="1.01.00"/>
    <s v="FP Labor -Billable Cost"/>
    <s v="Labor"/>
    <s v="CO-C"/>
    <d v="2026-02-03T00:00:00"/>
    <x v="1"/>
    <x v="1"/>
    <s v="Employee"/>
    <s v="8"/>
    <s v="ORCL EG"/>
    <s v="501646 - E6M-EMEA Tech Delivery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64"/>
    <s v="3029632895225601"/>
    <s v="1.01.00"/>
    <s v="FP Labor -Billable Cost"/>
    <s v="Labor"/>
    <s v="CO-C"/>
    <d v="2026-02-03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234"/>
    <s v="3029636936019531"/>
    <s v="1.01.00"/>
    <s v="FP Labor -Billable Cost"/>
    <s v="Labor"/>
    <s v="CO-C"/>
    <d v="2026-02-03T00:00:00"/>
    <x v="1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3323"/>
    <s v="1527868110:1"/>
    <s v="1.01.00"/>
    <s v="FP Labor -Billable Cost"/>
    <s v="Labor"/>
    <s v="CO-C"/>
    <d v="2026-02-03T00:00:00"/>
    <x v="1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899"/>
    <s v="3029616334278272"/>
    <s v="1.01.00"/>
    <s v="FP Labor -Billable Cost"/>
    <s v="Labor"/>
    <s v="CO-C"/>
    <d v="2026-02-03T00:00:00"/>
    <x v="1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76"/>
    <s v="3029633312519741"/>
    <s v="1.01.00"/>
    <s v="FP Labor -Billable Cost"/>
    <s v="Labor"/>
    <s v="CO-C"/>
    <d v="2026-02-04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63"/>
    <s v="3029632895225631"/>
    <s v="1.01.00"/>
    <s v="FP Labor -Billable Cost"/>
    <s v="Labor"/>
    <s v="CO-C"/>
    <d v="2026-02-04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233"/>
    <s v="3029636936019561"/>
    <s v="1.01.00"/>
    <s v="FP Labor -Billable Cost"/>
    <s v="Labor"/>
    <s v="CO-C"/>
    <d v="2026-02-04T00:00:00"/>
    <x v="1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882"/>
    <s v="1527868109:1"/>
    <s v="1.01.00"/>
    <s v="FP Labor -Billable Cost"/>
    <s v="Labor"/>
    <s v="CO-C"/>
    <d v="2026-02-04T00:00:00"/>
    <x v="1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897"/>
    <s v="3029616334278292"/>
    <s v="1.01.00"/>
    <s v="FP Labor -Billable Cost"/>
    <s v="Labor"/>
    <s v="CO-C"/>
    <d v="2026-02-04T00:00:00"/>
    <x v="1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85"/>
    <s v="3029612388872232"/>
    <s v="1.01.00"/>
    <s v="FP Labor -Billable Cost"/>
    <s v="Labor"/>
    <s v="CO-C"/>
    <d v="2026-02-05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87620"/>
    <s v="3029631883692211"/>
    <s v="1.01.00"/>
    <s v="FP Labor -Billable Cost"/>
    <s v="Labor"/>
    <s v="CO-C"/>
    <d v="2026-02-05T00:00:00"/>
    <x v="1"/>
    <x v="5"/>
    <s v="Employee"/>
    <s v="7"/>
    <s v="ORCL AE"/>
    <s v="509505 - 75M: EMEA Digital - PaaS"/>
    <s v="0069"/>
    <s v="Y"/>
    <s v="Y"/>
    <s v="Unrecognized"/>
    <n v="12"/>
    <s v="AED"/>
    <n v="433.37"/>
    <n v="813.38"/>
    <n v="5200.4399999999996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62"/>
    <s v="3029632895225661"/>
    <s v="1.01.00"/>
    <s v="FP Labor -Billable Cost"/>
    <s v="Labor"/>
    <s v="CO-C"/>
    <d v="2026-02-05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232"/>
    <s v="3029636936019591"/>
    <s v="1.01.00"/>
    <s v="FP Labor -Billable Cost"/>
    <s v="Labor"/>
    <s v="CO-C"/>
    <d v="2026-02-05T00:00:00"/>
    <x v="1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850"/>
    <s v="1527868108:1"/>
    <s v="1.01.00"/>
    <s v="FP Labor -Billable Cost"/>
    <s v="Labor"/>
    <s v="CO-C"/>
    <d v="2026-02-05T00:00:00"/>
    <x v="1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886"/>
    <s v="3029616334278312"/>
    <s v="1.01.00"/>
    <s v="FP Labor -Billable Cost"/>
    <s v="Labor"/>
    <s v="CO-C"/>
    <d v="2026-02-05T00:00:00"/>
    <x v="1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80"/>
    <s v="3029612388872252"/>
    <s v="1.01.00"/>
    <s v="FP Labor -Billable Cost"/>
    <s v="Labor"/>
    <s v="CO-C"/>
    <d v="2026-02-06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61"/>
    <s v="3029632895225691"/>
    <s v="1.01.00"/>
    <s v="FP Labor -Billable Cost"/>
    <s v="Labor"/>
    <s v="CO-C"/>
    <d v="2026-02-06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577"/>
    <s v="1527868107:1"/>
    <s v="1.01.00"/>
    <s v="FP Labor -Billable Cost"/>
    <s v="Labor"/>
    <s v="CO-C"/>
    <d v="2026-02-06T00:00:00"/>
    <x v="1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884"/>
    <s v="3029616336248332"/>
    <s v="1.01.00"/>
    <s v="FP Labor -Billable Cost"/>
    <s v="Labor"/>
    <s v="CO-C"/>
    <d v="2026-02-06T00:00:00"/>
    <x v="1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43"/>
    <s v="3029633314235321"/>
    <s v="1.01.00"/>
    <s v="FP Labor -Billable Cost"/>
    <s v="Labor"/>
    <s v="CO-C"/>
    <d v="2026-02-08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92"/>
    <s v="3029627473737702"/>
    <s v="1.01.00"/>
    <s v="FP Labor -Billable Cost"/>
    <s v="Labor"/>
    <s v="CO-C"/>
    <d v="2026-02-08T00:00:00"/>
    <x v="2"/>
    <x v="1"/>
    <s v="Employee"/>
    <s v="8"/>
    <s v="ORCL EG"/>
    <s v="501646 - E6M-EMEA Tech Delivery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43934"/>
    <s v="3029627195376332"/>
    <s v="1.01.00"/>
    <s v="FP Labor -Billable Cost"/>
    <s v="Labor"/>
    <s v="CO-C"/>
    <d v="2026-02-08T00:00:00"/>
    <x v="2"/>
    <x v="7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74"/>
    <s v="3029624878382553"/>
    <s v="1.01.00"/>
    <s v="FP Labor -Billable Cost"/>
    <s v="Labor"/>
    <s v="CO-C"/>
    <d v="2026-02-08T00:00:00"/>
    <x v="2"/>
    <x v="8"/>
    <s v="Employee"/>
    <s v="7"/>
    <s v="ORCL EG"/>
    <s v="501646 - E6M-EMEA Tech Delivery - IaaS"/>
    <s v="008U"/>
    <s v="Y"/>
    <s v="Y"/>
    <s v="Unrecognized"/>
    <n v="9.06"/>
    <s v="AED"/>
    <n v="93.53"/>
    <n v="813.38"/>
    <n v="847.42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91"/>
    <s v="3029627142316172"/>
    <s v="1.01.00"/>
    <s v="FP Labor -Billable Cost"/>
    <s v="Labor"/>
    <s v="CO-C"/>
    <d v="2026-02-08T00:00:00"/>
    <x v="2"/>
    <x v="9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90"/>
    <s v="3029627473737722"/>
    <s v="1.01.00"/>
    <s v="FP Labor -Billable Cost"/>
    <s v="Labor"/>
    <s v="CO-C"/>
    <d v="2026-02-09T00:00:00"/>
    <x v="2"/>
    <x v="1"/>
    <s v="Employee"/>
    <s v="8"/>
    <s v="ORCL EG"/>
    <s v="501646 - E6M-EMEA Tech Delivery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847"/>
    <s v="3029632896458181"/>
    <s v="1.01.00"/>
    <s v="FP Labor -Billable Cost"/>
    <s v="Labor"/>
    <s v="CO-C"/>
    <d v="2026-02-09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209"/>
    <s v="3029636938431471"/>
    <s v="1.01.00"/>
    <s v="FP Labor -Billable Cost"/>
    <s v="Labor"/>
    <s v="CO-C"/>
    <d v="2026-02-09T00:00:00"/>
    <x v="2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43928"/>
    <s v="3029627195376352"/>
    <s v="1.01.00"/>
    <s v="FP Labor -Billable Cost"/>
    <s v="Labor"/>
    <s v="CO-C"/>
    <d v="2026-02-09T00:00:00"/>
    <x v="2"/>
    <x v="7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1016"/>
    <s v="1527868153:1"/>
    <s v="1.01.00"/>
    <s v="FP Labor -Billable Cost"/>
    <s v="Labor"/>
    <s v="CO-C"/>
    <d v="2026-02-09T00:00:00"/>
    <x v="2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77"/>
    <s v="3029624878382573"/>
    <s v="1.01.00"/>
    <s v="FP Labor -Billable Cost"/>
    <s v="Labor"/>
    <s v="CO-C"/>
    <d v="2026-02-09T00:00:00"/>
    <x v="2"/>
    <x v="8"/>
    <s v="Employee"/>
    <s v="7"/>
    <s v="ORCL EG"/>
    <s v="501646 - E6M-EMEA Tech Delivery - IaaS"/>
    <s v="008U"/>
    <s v="Y"/>
    <s v="Y"/>
    <s v="Unrecognized"/>
    <n v="9.06"/>
    <s v="AED"/>
    <n v="93.53"/>
    <n v="813.38"/>
    <n v="847.42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80"/>
    <s v="3029616335720582"/>
    <s v="1.01.00"/>
    <s v="FP Labor -Billable Cost"/>
    <s v="Labor"/>
    <s v="CO-C"/>
    <d v="2026-02-09T00:00:00"/>
    <x v="2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81"/>
    <s v="3029632347792141"/>
    <s v="1.01.00"/>
    <s v="FP Labor -Billable Cost"/>
    <s v="Labor"/>
    <s v="CO-C"/>
    <d v="2026-02-09T00:00:00"/>
    <x v="2"/>
    <x v="9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41"/>
    <s v="3029633314235371"/>
    <s v="1.01.00"/>
    <s v="FP Labor -Billable Cost"/>
    <s v="Labor"/>
    <s v="CO-C"/>
    <d v="2026-02-10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84"/>
    <s v="3029627473737742"/>
    <s v="1.01.00"/>
    <s v="FP Labor -Billable Cost"/>
    <s v="Labor"/>
    <s v="CO-C"/>
    <d v="2026-02-10T00:00:00"/>
    <x v="2"/>
    <x v="1"/>
    <s v="Employee"/>
    <s v="8"/>
    <s v="ORCL EG"/>
    <s v="501646 - E6M-EMEA Tech Delivery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846"/>
    <s v="3029632896458211"/>
    <s v="1.01.00"/>
    <s v="FP Labor -Billable Cost"/>
    <s v="Labor"/>
    <s v="CO-C"/>
    <d v="2026-02-10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205"/>
    <s v="3029636938431501"/>
    <s v="1.01.00"/>
    <s v="FP Labor -Billable Cost"/>
    <s v="Labor"/>
    <s v="CO-C"/>
    <d v="2026-02-10T00:00:00"/>
    <x v="2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43926"/>
    <s v="3029627195376372"/>
    <s v="1.01.00"/>
    <s v="FP Labor -Billable Cost"/>
    <s v="Labor"/>
    <s v="CO-C"/>
    <d v="2026-02-10T00:00:00"/>
    <x v="2"/>
    <x v="7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3318"/>
    <s v="1527868152:1"/>
    <s v="1.01.00"/>
    <s v="FP Labor -Billable Cost"/>
    <s v="Labor"/>
    <s v="CO-C"/>
    <d v="2026-02-10T00:00:00"/>
    <x v="2"/>
    <x v="3"/>
    <s v="Employee"/>
    <s v="7"/>
    <s v="ORCL IN OSSI"/>
    <s v="504826 - 1CV:GSC-Business Analytics - PaaS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75"/>
    <s v="3029624878382593"/>
    <s v="1.01.00"/>
    <s v="FP Labor -Billable Cost"/>
    <s v="Labor"/>
    <s v="CO-C"/>
    <d v="2026-02-10T00:00:00"/>
    <x v="2"/>
    <x v="8"/>
    <s v="Employee"/>
    <s v="7"/>
    <s v="ORCL EG"/>
    <s v="501646 - E6M-EMEA Tech Delivery - IaaS"/>
    <s v="008U"/>
    <s v="Y"/>
    <s v="Y"/>
    <s v="Unrecognized"/>
    <n v="9.06"/>
    <s v="AED"/>
    <n v="93.53"/>
    <n v="813.38"/>
    <n v="847.42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67"/>
    <s v="3029616335720602"/>
    <s v="1.01.00"/>
    <s v="FP Labor -Billable Cost"/>
    <s v="Labor"/>
    <s v="CO-C"/>
    <d v="2026-02-10T00:00:00"/>
    <x v="2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79"/>
    <s v="3029632347792161"/>
    <s v="1.01.00"/>
    <s v="FP Labor -Billable Cost"/>
    <s v="Labor"/>
    <s v="CO-C"/>
    <d v="2026-02-10T00:00:00"/>
    <x v="2"/>
    <x v="9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40"/>
    <s v="3029633314235401"/>
    <s v="1.01.00"/>
    <s v="FP Labor -Billable Cost"/>
    <s v="Labor"/>
    <s v="CO-C"/>
    <d v="2026-02-11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81"/>
    <s v="3029632338688301"/>
    <s v="1.01.00"/>
    <s v="FP Labor -Billable Cost"/>
    <s v="Labor"/>
    <s v="CO-C"/>
    <d v="2026-02-11T00:00:00"/>
    <x v="2"/>
    <x v="1"/>
    <s v="Employee"/>
    <s v="8"/>
    <s v="ORCL EG"/>
    <s v="501646 - E6M-EMEA Tech Delivery - IaaS"/>
    <s v="008U"/>
    <s v="Y"/>
    <s v="Y"/>
    <s v="Unrecognized"/>
    <n v="8"/>
    <s v="AED"/>
    <n v="107.95"/>
    <n v="943.05"/>
    <n v="863.5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845"/>
    <s v="3029632896458241"/>
    <s v="1.01.00"/>
    <s v="FP Labor -Billable Cost"/>
    <s v="Labor"/>
    <s v="CO-C"/>
    <d v="2026-02-11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208"/>
    <s v="3029636938431531"/>
    <s v="1.01.00"/>
    <s v="FP Labor -Billable Cost"/>
    <s v="Labor"/>
    <s v="CO-C"/>
    <d v="2026-02-11T00:00:00"/>
    <x v="2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43931"/>
    <s v="3029627195376392"/>
    <s v="1.01.00"/>
    <s v="FP Labor -Billable Cost"/>
    <s v="Labor"/>
    <s v="CO-C"/>
    <d v="2026-02-11T00:00:00"/>
    <x v="2"/>
    <x v="7"/>
    <s v="Employee"/>
    <s v="7"/>
    <s v="ORCL EG"/>
    <s v="501646 - E6M-EMEA Tech Delivery - IaaS"/>
    <s v="008U"/>
    <s v="Y"/>
    <s v="Y"/>
    <s v="Unrecognized"/>
    <n v="8"/>
    <s v="AED"/>
    <n v="93.5"/>
    <n v="813.38"/>
    <n v="748.0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783"/>
    <s v="1527868151:1"/>
    <s v="1.01.00"/>
    <s v="FP Labor -Billable Cost"/>
    <s v="Labor"/>
    <s v="CO-C"/>
    <d v="2026-02-11T00:00:00"/>
    <x v="2"/>
    <x v="3"/>
    <s v="Employee"/>
    <s v="7"/>
    <s v="ORCL IN OSSI"/>
    <s v="504826 - 1CV:GSC-Business Analytics - PaaS"/>
    <s v="009B"/>
    <s v="Y"/>
    <s v="Y"/>
    <s v="Unrecognized"/>
    <n v="8"/>
    <s v="AED"/>
    <n v="113.9"/>
    <n v="813.38"/>
    <n v="911.21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54"/>
    <s v="3029624878382613"/>
    <s v="1.01.00"/>
    <s v="FP Labor -Billable Cost"/>
    <s v="Labor"/>
    <s v="CO-C"/>
    <d v="2026-02-11T00:00:00"/>
    <x v="2"/>
    <x v="8"/>
    <s v="Employee"/>
    <s v="7"/>
    <s v="ORCL EG"/>
    <s v="501646 - E6M-EMEA Tech Delivery - IaaS"/>
    <s v="008U"/>
    <s v="Y"/>
    <s v="Y"/>
    <s v="Unrecognized"/>
    <n v="9.06"/>
    <s v="AED"/>
    <n v="93.5"/>
    <n v="813.38"/>
    <n v="847.13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65"/>
    <s v="3029616335720622"/>
    <s v="1.01.00"/>
    <s v="FP Labor -Billable Cost"/>
    <s v="Labor"/>
    <s v="CO-C"/>
    <d v="2026-02-11T00:00:00"/>
    <x v="2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39"/>
    <s v="3029612390148002"/>
    <s v="1.01.00"/>
    <s v="FP Labor -Billable Cost"/>
    <s v="Labor"/>
    <s v="CO-C"/>
    <d v="2026-02-12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928382"/>
    <s v="3029634186249031"/>
    <s v="1.01.00"/>
    <s v="FP Labor -Billable Cost"/>
    <s v="Labor"/>
    <s v="CO-C"/>
    <d v="2026-02-12T00:00:00"/>
    <x v="2"/>
    <x v="5"/>
    <s v="Employee"/>
    <s v="7"/>
    <s v="ORCL AE"/>
    <s v="509505 - 75M: EMEA Digital - PaaS"/>
    <s v="0069"/>
    <s v="Y"/>
    <s v="Y"/>
    <s v="Unrecognized"/>
    <n v="12"/>
    <s v="AED"/>
    <n v="433.37"/>
    <n v="813.38"/>
    <n v="5200.4399999999996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842"/>
    <s v="3029632896458271"/>
    <s v="1.01.00"/>
    <s v="FP Labor -Billable Cost"/>
    <s v="Labor"/>
    <s v="CO-C"/>
    <d v="2026-02-12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207"/>
    <s v="3029636938431561"/>
    <s v="1.01.00"/>
    <s v="FP Labor -Billable Cost"/>
    <s v="Labor"/>
    <s v="CO-C"/>
    <d v="2026-02-12T00:00:00"/>
    <x v="2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43929"/>
    <s v="3029627195376412"/>
    <s v="1.01.00"/>
    <s v="FP Labor -Billable Cost"/>
    <s v="Labor"/>
    <s v="CO-C"/>
    <d v="2026-02-12T00:00:00"/>
    <x v="2"/>
    <x v="7"/>
    <s v="Employee"/>
    <s v="7"/>
    <s v="ORCL EG"/>
    <s v="501646 - E6M-EMEA Tech Delivery - IaaS"/>
    <s v="008U"/>
    <s v="Y"/>
    <s v="Y"/>
    <s v="Unrecognized"/>
    <n v="8"/>
    <s v="AED"/>
    <n v="93.54"/>
    <n v="813.38"/>
    <n v="748.33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3319"/>
    <s v="1527868150:1"/>
    <s v="1.01.00"/>
    <s v="FP Labor -Billable Cost"/>
    <s v="Labor"/>
    <s v="CO-C"/>
    <d v="2026-02-12T00:00:00"/>
    <x v="2"/>
    <x v="3"/>
    <s v="Employee"/>
    <s v="7"/>
    <s v="ORCL IN OSSI"/>
    <s v="504826 - 1CV:GSC-Business Analytics - PaaS"/>
    <s v="009B"/>
    <s v="Y"/>
    <s v="Y"/>
    <s v="Unrecognized"/>
    <n v="8"/>
    <s v="AED"/>
    <n v="113.74"/>
    <n v="813.38"/>
    <n v="909.95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52"/>
    <s v="3029624878382633"/>
    <s v="1.01.00"/>
    <s v="FP Labor -Billable Cost"/>
    <s v="Labor"/>
    <s v="CO-C"/>
    <d v="2026-02-12T00:00:00"/>
    <x v="2"/>
    <x v="8"/>
    <s v="Employee"/>
    <s v="7"/>
    <s v="ORCL EG"/>
    <s v="501646 - E6M-EMEA Tech Delivery - IaaS"/>
    <s v="008U"/>
    <s v="Y"/>
    <s v="Y"/>
    <s v="Unrecognized"/>
    <n v="9.06"/>
    <s v="AED"/>
    <n v="93.54"/>
    <n v="813.38"/>
    <n v="847.49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63"/>
    <s v="3029616335720642"/>
    <s v="1.01.00"/>
    <s v="FP Labor -Billable Cost"/>
    <s v="Labor"/>
    <s v="CO-C"/>
    <d v="2026-02-12T00:00:00"/>
    <x v="2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37"/>
    <s v="3029612390148022"/>
    <s v="1.01.00"/>
    <s v="FP Labor -Billable Cost"/>
    <s v="Labor"/>
    <s v="CO-C"/>
    <d v="2026-02-13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841"/>
    <s v="3029632896458301"/>
    <s v="1.01.00"/>
    <s v="FP Labor -Billable Cost"/>
    <s v="Labor"/>
    <s v="CO-C"/>
    <d v="2026-02-13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788"/>
    <s v="1527868149:1"/>
    <s v="1.01.00"/>
    <s v="FP Labor -Billable Cost"/>
    <s v="Labor"/>
    <s v="CO-C"/>
    <d v="2026-02-13T00:00:00"/>
    <x v="2"/>
    <x v="3"/>
    <s v="Employee"/>
    <s v="7"/>
    <s v="ORCL IN OSSI"/>
    <s v="504826 - 1CV:GSC-Business Analytics - PaaS"/>
    <s v="009B"/>
    <s v="Y"/>
    <s v="Y"/>
    <s v="Unrecognized"/>
    <n v="8"/>
    <s v="AED"/>
    <n v="113.88"/>
    <n v="813.38"/>
    <n v="911.01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953"/>
    <s v="3029616335720662"/>
    <s v="1.01.00"/>
    <s v="FP Labor -Billable Cost"/>
    <s v="Labor"/>
    <s v="CO-C"/>
    <d v="2026-02-13T00:00:00"/>
    <x v="2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705"/>
    <s v="3029633313726151"/>
    <s v="1.01.00"/>
    <s v="FP Labor -Billable Cost"/>
    <s v="Labor"/>
    <s v="CO-C"/>
    <d v="2026-02-15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49"/>
    <s v="3029627472690622"/>
    <s v="1.01.00"/>
    <s v="FP Labor -Billable Cost"/>
    <s v="Labor"/>
    <s v="CO-C"/>
    <d v="2026-02-15T00:00:00"/>
    <x v="3"/>
    <x v="1"/>
    <s v="Employee"/>
    <s v="8"/>
    <s v="ORCL EG"/>
    <s v="501646 - E6M-EMEA Tech Delivery - I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9224"/>
    <s v="3029631794165581"/>
    <s v="1.01.00"/>
    <s v="FP Labor -Billable Cost"/>
    <s v="Labor"/>
    <s v="CO-C"/>
    <d v="2026-02-15T00:00:00"/>
    <x v="3"/>
    <x v="10"/>
    <s v="Employee"/>
    <s v="8"/>
    <s v="ORCL EG"/>
    <s v="502416 - 3WP-EMEA Delivery Middleware - I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170"/>
    <s v="3029624879067752"/>
    <s v="1.01.00"/>
    <s v="FP Labor -Billable Cost"/>
    <s v="Labor"/>
    <s v="CO-C"/>
    <d v="2026-02-15T00:00:00"/>
    <x v="3"/>
    <x v="8"/>
    <s v="Employee"/>
    <s v="7"/>
    <s v="ORCL EG"/>
    <s v="501646 - E6M-EMEA Tech Delivery - IaaS"/>
    <s v="008U"/>
    <s v="Y"/>
    <s v="Y"/>
    <s v="Unrecognized"/>
    <n v="9.06"/>
    <s v="AED"/>
    <n v="93.58"/>
    <n v="813.38"/>
    <n v="847.85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868"/>
    <s v="3029631741435001"/>
    <s v="1.01.00"/>
    <s v="FP Labor -Billable Cost"/>
    <s v="Labor"/>
    <s v="CO-C"/>
    <d v="2026-02-15T00:00:00"/>
    <x v="3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60"/>
    <s v="3029627141886992"/>
    <s v="1.01.00"/>
    <s v="FP Labor -Billable Cost"/>
    <s v="Labor"/>
    <s v="CO-C"/>
    <d v="2026-02-15T00:00:00"/>
    <x v="3"/>
    <x v="9"/>
    <s v="Employee"/>
    <s v="7"/>
    <s v="ORCL EG"/>
    <s v="501646 - E6M-EMEA Tech Delivery - IaaS"/>
    <s v="008U"/>
    <s v="Y"/>
    <s v="Y"/>
    <s v="Unrecognized"/>
    <n v="8"/>
    <s v="AED"/>
    <n v="93.58"/>
    <n v="813.38"/>
    <n v="748.65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19"/>
    <s v="3029632889067311"/>
    <s v="1.01.00"/>
    <s v="FP Labor -Billable Cost"/>
    <s v="Labor"/>
    <s v="CO-C"/>
    <d v="2026-02-16T00:00:00"/>
    <x v="3"/>
    <x v="11"/>
    <s v="Employee"/>
    <s v="8"/>
    <s v="ORCL EG"/>
    <s v="509485 - 73M: EMEA Business Analytics - P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30"/>
    <s v="3029627472690642"/>
    <s v="1.01.00"/>
    <s v="FP Labor -Billable Cost"/>
    <s v="Labor"/>
    <s v="CO-C"/>
    <d v="2026-02-16T00:00:00"/>
    <x v="3"/>
    <x v="1"/>
    <s v="Employee"/>
    <s v="8"/>
    <s v="ORCL EG"/>
    <s v="501646 - E6M-EMEA Tech Delivery - I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781"/>
    <s v="3029632894837371"/>
    <s v="1.01.00"/>
    <s v="FP Labor -Billable Cost"/>
    <s v="Labor"/>
    <s v="CO-C"/>
    <d v="2026-02-16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9355"/>
    <s v="3029631745035331"/>
    <s v="1.01.00"/>
    <s v="FP Labor -Billable Cost"/>
    <s v="Labor"/>
    <s v="CO-C"/>
    <d v="2026-02-16T00:00:00"/>
    <x v="3"/>
    <x v="12"/>
    <s v="Employee"/>
    <s v="7"/>
    <s v="ORCL AE"/>
    <s v="509945 - 4AT: EMEA OCS - N B Regional Mgmt Tech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180"/>
    <s v="3029636938193761"/>
    <s v="1.01.00"/>
    <s v="FP Labor -Billable Cost"/>
    <s v="Labor"/>
    <s v="CO-C"/>
    <d v="2026-02-16T00:00:00"/>
    <x v="3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9223"/>
    <s v="3029631794165601"/>
    <s v="1.01.00"/>
    <s v="FP Labor -Billable Cost"/>
    <s v="Labor"/>
    <s v="CO-C"/>
    <d v="2026-02-16T00:00:00"/>
    <x v="3"/>
    <x v="10"/>
    <s v="Employee"/>
    <s v="8"/>
    <s v="ORCL EG"/>
    <s v="502416 - 3WP-EMEA Delivery Middleware - I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1430"/>
    <s v="1527866396:2"/>
    <s v="1.01.00"/>
    <s v="FP Labor -Billable Cost"/>
    <s v="Labor"/>
    <s v="CO-C"/>
    <d v="2026-02-16T00:00:00"/>
    <x v="3"/>
    <x v="3"/>
    <s v="Employee"/>
    <s v="7"/>
    <s v="ORCL IN OSSI"/>
    <s v="504826 - 1CV:GSC-Business Analytics - PaaS"/>
    <s v="009B"/>
    <s v="Y"/>
    <s v="Y"/>
    <s v="Unrecognized"/>
    <n v="8"/>
    <s v="AED"/>
    <n v="113.88"/>
    <n v="813.38"/>
    <n v="911.01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09"/>
    <s v="3029624879067772"/>
    <s v="1.01.00"/>
    <s v="FP Labor -Billable Cost"/>
    <s v="Labor"/>
    <s v="CO-C"/>
    <d v="2026-02-16T00:00:00"/>
    <x v="3"/>
    <x v="8"/>
    <s v="Employee"/>
    <s v="7"/>
    <s v="ORCL EG"/>
    <s v="501646 - E6M-EMEA Tech Delivery - IaaS"/>
    <s v="008U"/>
    <s v="Y"/>
    <s v="Y"/>
    <s v="Unrecognized"/>
    <n v="9.06"/>
    <s v="AED"/>
    <n v="93.58"/>
    <n v="813.38"/>
    <n v="847.85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867"/>
    <s v="3029616335711452"/>
    <s v="1.01.00"/>
    <s v="FP Labor -Billable Cost"/>
    <s v="Labor"/>
    <s v="CO-C"/>
    <d v="2026-02-16T00:00:00"/>
    <x v="3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36"/>
    <s v="3029632346010691"/>
    <s v="1.01.00"/>
    <s v="FP Labor -Billable Cost"/>
    <s v="Labor"/>
    <s v="CO-C"/>
    <d v="2026-02-16T00:00:00"/>
    <x v="3"/>
    <x v="9"/>
    <s v="Employee"/>
    <s v="7"/>
    <s v="ORCL EG"/>
    <s v="501646 - E6M-EMEA Tech Delivery - IaaS"/>
    <s v="008U"/>
    <s v="Y"/>
    <s v="Y"/>
    <s v="Unrecognized"/>
    <n v="8"/>
    <s v="AED"/>
    <n v="93.58"/>
    <n v="813.38"/>
    <n v="748.65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16417"/>
    <s v="3029620337311162"/>
    <s v="1.01.00"/>
    <s v="FP Labor -Billable Cost"/>
    <s v="Labor"/>
    <s v="CO-C"/>
    <d v="2026-02-16T00:00:00"/>
    <x v="3"/>
    <x v="13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18"/>
    <s v="3029632889067341"/>
    <s v="1.01.00"/>
    <s v="FP Labor -Billable Cost"/>
    <s v="Labor"/>
    <s v="CO-C"/>
    <d v="2026-02-17T00:00:00"/>
    <x v="3"/>
    <x v="11"/>
    <s v="Employee"/>
    <s v="8"/>
    <s v="ORCL EG"/>
    <s v="509485 - 73M: EMEA Business Analytics - P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704"/>
    <s v="3029633313726201"/>
    <s v="1.01.00"/>
    <s v="FP Labor -Billable Cost"/>
    <s v="Labor"/>
    <s v="CO-C"/>
    <d v="2026-02-17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28"/>
    <s v="3029627472690662"/>
    <s v="1.01.00"/>
    <s v="FP Labor -Billable Cost"/>
    <s v="Labor"/>
    <s v="CO-C"/>
    <d v="2026-02-17T00:00:00"/>
    <x v="3"/>
    <x v="1"/>
    <s v="Employee"/>
    <s v="8"/>
    <s v="ORCL EG"/>
    <s v="501646 - E6M-EMEA Tech Delivery - I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780"/>
    <s v="3029632894837401"/>
    <s v="1.01.00"/>
    <s v="FP Labor -Billable Cost"/>
    <s v="Labor"/>
    <s v="CO-C"/>
    <d v="2026-02-17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9358"/>
    <s v="3029631745035351"/>
    <s v="1.01.00"/>
    <s v="FP Labor -Billable Cost"/>
    <s v="Labor"/>
    <s v="CO-C"/>
    <d v="2026-02-17T00:00:00"/>
    <x v="3"/>
    <x v="12"/>
    <s v="Employee"/>
    <s v="7"/>
    <s v="ORCL AE"/>
    <s v="509945 - 4AT: EMEA OCS - N B Regional Mgmt Tech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178"/>
    <s v="3029636938193791"/>
    <s v="1.01.00"/>
    <s v="FP Labor -Billable Cost"/>
    <s v="Labor"/>
    <s v="CO-C"/>
    <d v="2026-02-17T00:00:00"/>
    <x v="3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9222"/>
    <s v="3029631794165621"/>
    <s v="1.01.00"/>
    <s v="FP Labor -Billable Cost"/>
    <s v="Labor"/>
    <s v="CO-C"/>
    <d v="2026-02-17T00:00:00"/>
    <x v="3"/>
    <x v="10"/>
    <s v="Employee"/>
    <s v="8"/>
    <s v="ORCL EG"/>
    <s v="502416 - 3WP-EMEA Delivery Middleware - I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554"/>
    <s v="1527866397:2"/>
    <s v="1.01.00"/>
    <s v="FP Labor -Billable Cost"/>
    <s v="Labor"/>
    <s v="CO-C"/>
    <d v="2026-02-17T00:00:00"/>
    <x v="3"/>
    <x v="3"/>
    <s v="Employee"/>
    <s v="7"/>
    <s v="ORCL IN OSSI"/>
    <s v="504826 - 1CV:GSC-Business Analytics - PaaS"/>
    <s v="009B"/>
    <s v="Y"/>
    <s v="Y"/>
    <s v="Unrecognized"/>
    <n v="8"/>
    <s v="AED"/>
    <n v="113.88"/>
    <n v="813.38"/>
    <n v="911.01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71"/>
    <s v="3029624879067792"/>
    <s v="1.01.00"/>
    <s v="FP Labor -Billable Cost"/>
    <s v="Labor"/>
    <s v="CO-C"/>
    <d v="2026-02-17T00:00:00"/>
    <x v="3"/>
    <x v="8"/>
    <s v="Employee"/>
    <s v="7"/>
    <s v="ORCL EG"/>
    <s v="501646 - E6M-EMEA Tech Delivery - IaaS"/>
    <s v="008U"/>
    <s v="Y"/>
    <s v="Y"/>
    <s v="Unrecognized"/>
    <n v="9.06"/>
    <s v="AED"/>
    <n v="93.58"/>
    <n v="813.38"/>
    <n v="847.85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865"/>
    <s v="3029616335711472"/>
    <s v="1.01.00"/>
    <s v="FP Labor -Billable Cost"/>
    <s v="Labor"/>
    <s v="CO-C"/>
    <d v="2026-02-17T00:00:00"/>
    <x v="3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17"/>
    <s v="3029632346010711"/>
    <s v="1.01.00"/>
    <s v="FP Labor -Billable Cost"/>
    <s v="Labor"/>
    <s v="CO-C"/>
    <d v="2026-02-17T00:00:00"/>
    <x v="3"/>
    <x v="9"/>
    <s v="Employee"/>
    <s v="7"/>
    <s v="ORCL EG"/>
    <s v="501646 - E6M-EMEA Tech Delivery - IaaS"/>
    <s v="008U"/>
    <s v="Y"/>
    <s v="Y"/>
    <s v="Unrecognized"/>
    <n v="8"/>
    <s v="AED"/>
    <n v="93.58"/>
    <n v="813.38"/>
    <n v="748.65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16420"/>
    <s v="3029620337311182"/>
    <s v="1.01.00"/>
    <s v="FP Labor -Billable Cost"/>
    <s v="Labor"/>
    <s v="CO-C"/>
    <d v="2026-02-17T00:00:00"/>
    <x v="3"/>
    <x v="13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07"/>
    <s v="3029632889067381"/>
    <s v="1.01.00"/>
    <s v="FP Labor -Billable Cost"/>
    <s v="Labor"/>
    <s v="CO-C"/>
    <d v="2026-02-18T00:00:00"/>
    <x v="3"/>
    <x v="11"/>
    <s v="Employee"/>
    <s v="8"/>
    <s v="ORCL EG"/>
    <s v="509485 - 73M: EMEA Business Analytics - PaaS"/>
    <s v="008U"/>
    <s v="Y"/>
    <s v="Y"/>
    <s v="Unrecognized"/>
    <n v="8"/>
    <s v="AED"/>
    <n v="107.65"/>
    <n v="943.05"/>
    <n v="861.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702"/>
    <s v="3029633313726231"/>
    <s v="1.01.00"/>
    <s v="FP Labor -Billable Cost"/>
    <s v="Labor"/>
    <s v="CO-C"/>
    <d v="2026-02-18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87613"/>
    <s v="3029631885102411"/>
    <s v="1.01.00"/>
    <s v="FP Labor -Billable Cost"/>
    <s v="Labor"/>
    <s v="CO-C"/>
    <d v="2026-02-18T00:00:00"/>
    <x v="3"/>
    <x v="5"/>
    <s v="Employee"/>
    <s v="7"/>
    <s v="ORCL AE"/>
    <s v="509505 - 75M: EMEA Digital - PaaS"/>
    <s v="0069"/>
    <s v="Y"/>
    <s v="Y"/>
    <s v="Unrecognized"/>
    <n v="12"/>
    <s v="AED"/>
    <n v="433.37"/>
    <n v="813.38"/>
    <n v="5200.4399999999996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779"/>
    <s v="3029632894837431"/>
    <s v="1.01.00"/>
    <s v="FP Labor -Billable Cost"/>
    <s v="Labor"/>
    <s v="CO-C"/>
    <d v="2026-02-18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9357"/>
    <s v="3029631745035371"/>
    <s v="1.01.00"/>
    <s v="FP Labor -Billable Cost"/>
    <s v="Labor"/>
    <s v="CO-C"/>
    <d v="2026-02-18T00:00:00"/>
    <x v="3"/>
    <x v="12"/>
    <s v="Employee"/>
    <s v="7"/>
    <s v="ORCL AE"/>
    <s v="509945 - 4AT: EMEA OCS - N B Regional Mgmt Tech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171"/>
    <s v="3029636938193821"/>
    <s v="1.01.00"/>
    <s v="FP Labor -Billable Cost"/>
    <s v="Labor"/>
    <s v="CO-C"/>
    <d v="2026-02-18T00:00:00"/>
    <x v="3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9214"/>
    <s v="3029631794165641"/>
    <s v="1.01.00"/>
    <s v="FP Labor -Billable Cost"/>
    <s v="Labor"/>
    <s v="CO-C"/>
    <d v="2026-02-18T00:00:00"/>
    <x v="3"/>
    <x v="10"/>
    <s v="Employee"/>
    <s v="8"/>
    <s v="ORCL EG"/>
    <s v="502416 - 3WP-EMEA Delivery Middleware - IaaS"/>
    <s v="008U"/>
    <s v="Y"/>
    <s v="Y"/>
    <s v="Unrecognized"/>
    <n v="8"/>
    <s v="AED"/>
    <n v="107.65"/>
    <n v="943.05"/>
    <n v="861.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527"/>
    <s v="1527866398:2"/>
    <s v="1.01.00"/>
    <s v="FP Labor -Billable Cost"/>
    <s v="Labor"/>
    <s v="CO-C"/>
    <d v="2026-02-18T00:00:00"/>
    <x v="3"/>
    <x v="3"/>
    <s v="Employee"/>
    <s v="7"/>
    <s v="ORCL IN OSSI"/>
    <s v="504826 - 1CV:GSC-Business Analytics - PaaS"/>
    <s v="009B"/>
    <s v="Y"/>
    <s v="Y"/>
    <s v="Unrecognized"/>
    <n v="8"/>
    <s v="AED"/>
    <n v="113.77"/>
    <n v="813.38"/>
    <n v="910.15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48"/>
    <s v="3029624879067812"/>
    <s v="1.01.00"/>
    <s v="FP Labor -Billable Cost"/>
    <s v="Labor"/>
    <s v="CO-C"/>
    <d v="2026-02-18T00:00:00"/>
    <x v="3"/>
    <x v="8"/>
    <s v="Employee"/>
    <s v="7"/>
    <s v="ORCL EG"/>
    <s v="501646 - E6M-EMEA Tech Delivery - IaaS"/>
    <s v="008U"/>
    <s v="Y"/>
    <s v="Y"/>
    <s v="Unrecognized"/>
    <n v="9.06"/>
    <s v="AED"/>
    <n v="93.24"/>
    <n v="813.38"/>
    <n v="844.79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078863"/>
    <s v="3029616335711492"/>
    <s v="1.01.00"/>
    <s v="FP Labor -Billable Cost"/>
    <s v="Labor"/>
    <s v="CO-C"/>
    <d v="2026-02-18T00:00:00"/>
    <x v="3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16389"/>
    <s v="3029620337311202"/>
    <s v="1.01.00"/>
    <s v="FP Labor -Billable Cost"/>
    <s v="Labor"/>
    <s v="CO-C"/>
    <d v="2026-02-18T00:00:00"/>
    <x v="3"/>
    <x v="13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06"/>
    <s v="3029632889067411"/>
    <s v="1.01.00"/>
    <s v="FP Labor -Billable Cost"/>
    <s v="Labor"/>
    <s v="CO-C"/>
    <d v="2026-02-19T00:00:00"/>
    <x v="3"/>
    <x v="11"/>
    <s v="Employee"/>
    <s v="8"/>
    <s v="ORCL EG"/>
    <s v="509485 - 73M: EMEA Business Analytics - PaaS"/>
    <s v="008U"/>
    <s v="Y"/>
    <s v="Y"/>
    <s v="Unrecognized"/>
    <n v="8"/>
    <s v="AED"/>
    <n v="107.67"/>
    <n v="943.05"/>
    <n v="861.3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701"/>
    <s v="3029633313726251"/>
    <s v="1.01.00"/>
    <s v="FP Labor -Billable Cost"/>
    <s v="Labor"/>
    <s v="CO-C"/>
    <d v="2026-02-19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778"/>
    <s v="3029632894837461"/>
    <s v="1.01.00"/>
    <s v="FP Labor -Billable Cost"/>
    <s v="Labor"/>
    <s v="CO-C"/>
    <d v="2026-02-19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19386"/>
    <s v="3029631745035391"/>
    <s v="1.01.00"/>
    <s v="FP Labor -Billable Cost"/>
    <s v="Labor"/>
    <s v="CO-C"/>
    <d v="2026-02-19T00:00:00"/>
    <x v="3"/>
    <x v="12"/>
    <s v="Employee"/>
    <s v="7"/>
    <s v="ORCL AE"/>
    <s v="509945 - 4AT: EMEA OCS - N B Regional Mgmt Tech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170"/>
    <s v="3029636938193851"/>
    <s v="1.01.00"/>
    <s v="FP Labor -Billable Cost"/>
    <s v="Labor"/>
    <s v="CO-C"/>
    <d v="2026-02-19T00:00:00"/>
    <x v="3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43735"/>
    <s v="3029631794165661"/>
    <s v="1.01.00"/>
    <s v="FP Labor -Billable Cost"/>
    <s v="Labor"/>
    <s v="CO-C"/>
    <d v="2026-02-19T00:00:00"/>
    <x v="3"/>
    <x v="10"/>
    <s v="Employee"/>
    <s v="8"/>
    <s v="ORCL EG"/>
    <s v="502416 - 3WP-EMEA Delivery Middleware - IaaS"/>
    <s v="008U"/>
    <s v="Y"/>
    <s v="Y"/>
    <s v="Unrecognized"/>
    <n v="8"/>
    <s v="AED"/>
    <n v="107.67"/>
    <n v="943.05"/>
    <n v="861.3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7663"/>
    <s v="1527866399:2"/>
    <s v="1.01.00"/>
    <s v="FP Labor -Billable Cost"/>
    <s v="Labor"/>
    <s v="CO-C"/>
    <d v="2026-02-19T00:00:00"/>
    <x v="3"/>
    <x v="3"/>
    <s v="Employee"/>
    <s v="7"/>
    <s v="ORCL IN OSSI"/>
    <s v="504826 - 1CV:GSC-Business Analytics - PaaS"/>
    <s v="009B"/>
    <s v="Y"/>
    <s v="Y"/>
    <s v="Unrecognized"/>
    <n v="8"/>
    <s v="AED"/>
    <n v="113.78"/>
    <n v="813.38"/>
    <n v="910.2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30"/>
    <s v="3029624879067832"/>
    <s v="1.01.00"/>
    <s v="FP Labor -Billable Cost"/>
    <s v="Labor"/>
    <s v="CO-C"/>
    <d v="2026-02-19T00:00:00"/>
    <x v="3"/>
    <x v="8"/>
    <s v="Employee"/>
    <s v="7"/>
    <s v="ORCL EG"/>
    <s v="501646 - E6M-EMEA Tech Delivery - IaaS"/>
    <s v="008U"/>
    <s v="Y"/>
    <s v="Y"/>
    <s v="Unrecognized"/>
    <n v="9.06"/>
    <s v="AED"/>
    <n v="93.26"/>
    <n v="813.38"/>
    <n v="844.96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162"/>
    <s v="3029632346010751"/>
    <s v="1.01.00"/>
    <s v="FP Labor -Billable Cost"/>
    <s v="Labor"/>
    <s v="CO-C"/>
    <d v="2026-02-19T00:00:00"/>
    <x v="3"/>
    <x v="9"/>
    <s v="Employee"/>
    <s v="7"/>
    <s v="ORCL EG"/>
    <s v="501646 - E6M-EMEA Tech Delivery - IaaS"/>
    <s v="008U"/>
    <s v="Y"/>
    <s v="Y"/>
    <s v="Unrecognized"/>
    <n v="8"/>
    <s v="AED"/>
    <n v="93.26"/>
    <n v="813.38"/>
    <n v="746.11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16386"/>
    <s v="3029620337311222"/>
    <s v="1.01.00"/>
    <s v="FP Labor -Billable Cost"/>
    <s v="Labor"/>
    <s v="CO-C"/>
    <d v="2026-02-19T00:00:00"/>
    <x v="3"/>
    <x v="13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905"/>
    <s v="3029632889067441"/>
    <s v="1.01.00"/>
    <s v="FP Labor -Billable Cost"/>
    <s v="Labor"/>
    <s v="CO-C"/>
    <d v="2026-02-20T00:00:00"/>
    <x v="3"/>
    <x v="11"/>
    <s v="Employee"/>
    <s v="8"/>
    <s v="ORCL EG"/>
    <s v="509485 - 73M: EMEA Business Analytics - P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99"/>
    <s v="3029633313726271"/>
    <s v="1.01.00"/>
    <s v="FP Labor -Billable Cost"/>
    <s v="Labor"/>
    <s v="CO-C"/>
    <d v="2026-02-20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777"/>
    <s v="3029632894837491"/>
    <s v="1.01.00"/>
    <s v="FP Labor -Billable Cost"/>
    <s v="Labor"/>
    <s v="CO-C"/>
    <d v="2026-02-20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16517"/>
    <s v="3029631745035411"/>
    <s v="1.01.00"/>
    <s v="FP Labor -Billable Cost"/>
    <s v="Labor"/>
    <s v="CO-C"/>
    <d v="2026-02-20T00:00:00"/>
    <x v="3"/>
    <x v="12"/>
    <s v="Employee"/>
    <s v="7"/>
    <s v="ORCL AE"/>
    <s v="509945 - 4AT: EMEA OCS - N B Regional Mgmt Tech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20098"/>
    <s v="1527866400:2"/>
    <s v="1.01.00"/>
    <s v="FP Labor -Billable Cost"/>
    <s v="Labor"/>
    <s v="CO-C"/>
    <d v="2026-02-20T00:00:00"/>
    <x v="3"/>
    <x v="3"/>
    <s v="Employee"/>
    <s v="7"/>
    <s v="ORCL IN OSSI"/>
    <s v="504826 - 1CV:GSC-Business Analytics - PaaS"/>
    <s v="009B"/>
    <s v="Y"/>
    <s v="Y"/>
    <s v="Unrecognized"/>
    <n v="8"/>
    <s v="AED"/>
    <n v="113.78"/>
    <n v="813.38"/>
    <n v="910.2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43907"/>
    <s v="3029616335711532"/>
    <s v="1.01.00"/>
    <s v="FP Labor -Billable Cost"/>
    <s v="Labor"/>
    <s v="CO-C"/>
    <d v="2026-02-20T00:00:00"/>
    <x v="3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16359"/>
    <s v="3029620337311242"/>
    <s v="1.01.00"/>
    <s v="FP Labor -Billable Cost"/>
    <s v="Labor"/>
    <s v="CO-C"/>
    <d v="2026-02-20T00:00:00"/>
    <x v="3"/>
    <x v="13"/>
    <s v="Employee"/>
    <s v="8"/>
    <s v="ORCL AE"/>
    <s v="509945 - 4AT: EMEA OCS - N B Regional Mgmt Tech"/>
    <s v="0069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871"/>
    <s v="3029632887578131"/>
    <s v="1.01.00"/>
    <s v="FP Labor -Billable Cost"/>
    <s v="Labor"/>
    <s v="CO-C"/>
    <d v="2026-02-22T00:00:00"/>
    <x v="4"/>
    <x v="11"/>
    <s v="Employee"/>
    <s v="8"/>
    <s v="ORCL EG"/>
    <s v="509485 - 73M: EMEA Business Analytics - P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84"/>
    <s v="3029633314195221"/>
    <s v="1.01.00"/>
    <s v="FP Labor -Billable Cost"/>
    <s v="Labor"/>
    <s v="CO-C"/>
    <d v="2026-02-22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041"/>
    <s v="3029627474514542"/>
    <s v="1.01.00"/>
    <s v="FP Labor -Billable Cost"/>
    <s v="Labor"/>
    <s v="CO-C"/>
    <d v="2026-02-22T00:00:00"/>
    <x v="4"/>
    <x v="1"/>
    <s v="Employee"/>
    <s v="8"/>
    <s v="ORCL EG"/>
    <s v="501646 - E6M-EMEA Tech Delivery - I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991"/>
    <s v="3029627195788152"/>
    <s v="1.01.00"/>
    <s v="FP Labor -Billable Cost"/>
    <s v="Labor"/>
    <s v="CO-C"/>
    <d v="2026-02-22T00:00:00"/>
    <x v="4"/>
    <x v="7"/>
    <s v="Employee"/>
    <s v="7"/>
    <s v="ORCL EG"/>
    <s v="501646 - E6M-EMEA Tech Delivery - IaaS"/>
    <s v="008U"/>
    <s v="Y"/>
    <s v="Y"/>
    <s v="Unrecognized"/>
    <n v="8"/>
    <s v="AED"/>
    <n v="92.14"/>
    <n v="813.38"/>
    <n v="737.1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865"/>
    <s v="3029631793139551"/>
    <s v="1.01.00"/>
    <s v="FP Labor -Billable Cost"/>
    <s v="Labor"/>
    <s v="CO-C"/>
    <d v="2026-02-22T00:00:00"/>
    <x v="4"/>
    <x v="10"/>
    <s v="Employee"/>
    <s v="8"/>
    <s v="ORCL EG"/>
    <s v="502416 - 3WP-EMEA Delivery Middleware - I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310"/>
    <s v="3029624880301823"/>
    <s v="1.01.00"/>
    <s v="FP Labor -Billable Cost"/>
    <s v="Labor"/>
    <s v="CO-C"/>
    <d v="2026-02-22T00:00:00"/>
    <x v="4"/>
    <x v="8"/>
    <s v="Employee"/>
    <s v="7"/>
    <s v="ORCL EG"/>
    <s v="501646 - E6M-EMEA Tech Delivery - IaaS"/>
    <s v="008U"/>
    <s v="Y"/>
    <s v="Y"/>
    <s v="Unrecognized"/>
    <n v="9.06"/>
    <s v="AED"/>
    <n v="92.14"/>
    <n v="813.38"/>
    <n v="834.76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269"/>
    <s v="3029627142376992"/>
    <s v="1.01.00"/>
    <s v="FP Labor -Billable Cost"/>
    <s v="Labor"/>
    <s v="CO-C"/>
    <d v="2026-02-22T00:00:00"/>
    <x v="4"/>
    <x v="9"/>
    <s v="Employee"/>
    <s v="7"/>
    <s v="ORCL EG"/>
    <s v="501646 - E6M-EMEA Tech Delivery - IaaS"/>
    <s v="008U"/>
    <s v="Y"/>
    <s v="Y"/>
    <s v="Unrecognized"/>
    <n v="8"/>
    <s v="AED"/>
    <n v="92.14"/>
    <n v="813.38"/>
    <n v="737.1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06"/>
    <s v="3029632887578161"/>
    <s v="1.01.00"/>
    <s v="FP Labor -Billable Cost"/>
    <s v="Labor"/>
    <s v="CO-C"/>
    <d v="2026-02-23T00:00:00"/>
    <x v="4"/>
    <x v="11"/>
    <s v="Employee"/>
    <s v="8"/>
    <s v="ORCL EG"/>
    <s v="509485 - 73M: EMEA Business Analytics - P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287"/>
    <s v="3029627474514562"/>
    <s v="1.01.00"/>
    <s v="FP Labor -Billable Cost"/>
    <s v="Labor"/>
    <s v="CO-C"/>
    <d v="2026-02-23T00:00:00"/>
    <x v="4"/>
    <x v="1"/>
    <s v="Employee"/>
    <s v="8"/>
    <s v="ORCL EG"/>
    <s v="501646 - E6M-EMEA Tech Delivery - I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53831"/>
    <s v="3029631884551291"/>
    <s v="1.01.00"/>
    <s v="FP Labor -Billable Cost"/>
    <s v="Labor"/>
    <s v="CO-C"/>
    <d v="2026-02-23T00:00:00"/>
    <x v="4"/>
    <x v="5"/>
    <s v="Employee"/>
    <s v="7"/>
    <s v="ORCL AE"/>
    <s v="509505 - 75M: EMEA Digital - PaaS"/>
    <s v="0069"/>
    <s v="Y"/>
    <s v="Y"/>
    <s v="Unrecognized"/>
    <n v="12"/>
    <s v="AED"/>
    <n v="433.37"/>
    <n v="813.38"/>
    <n v="5200.4399999999996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09799"/>
    <s v="3029632892811461"/>
    <s v="1.01.00"/>
    <s v="FP Labor -Billable Cost"/>
    <s v="Labor"/>
    <s v="CO-C"/>
    <d v="2026-02-23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151"/>
    <s v="3029636933969031"/>
    <s v="1.01.00"/>
    <s v="FP Labor -Billable Cost"/>
    <s v="Labor"/>
    <s v="CO-C"/>
    <d v="2026-02-23T00:00:00"/>
    <x v="4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221"/>
    <s v="3029627195788172"/>
    <s v="1.01.00"/>
    <s v="FP Labor -Billable Cost"/>
    <s v="Labor"/>
    <s v="CO-C"/>
    <d v="2026-02-23T00:00:00"/>
    <x v="4"/>
    <x v="7"/>
    <s v="Employee"/>
    <s v="7"/>
    <s v="ORCL EG"/>
    <s v="501646 - E6M-EMEA Tech Delivery - IaaS"/>
    <s v="008U"/>
    <s v="Y"/>
    <s v="Y"/>
    <s v="Unrecognized"/>
    <n v="8"/>
    <s v="AED"/>
    <n v="92.14"/>
    <n v="813.38"/>
    <n v="737.1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129"/>
    <s v="3029631793139571"/>
    <s v="1.01.00"/>
    <s v="FP Labor -Billable Cost"/>
    <s v="Labor"/>
    <s v="CO-C"/>
    <d v="2026-02-23T00:00:00"/>
    <x v="4"/>
    <x v="10"/>
    <s v="Employee"/>
    <s v="8"/>
    <s v="ORCL EG"/>
    <s v="502416 - 3WP-EMEA Delivery Middleware - I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81054"/>
    <s v="1527866441:1"/>
    <s v="1.01.00"/>
    <s v="FP Labor -Billable Cost"/>
    <s v="Labor"/>
    <s v="CO-C"/>
    <d v="2026-02-23T00:00:00"/>
    <x v="4"/>
    <x v="3"/>
    <s v="Employee"/>
    <s v="7"/>
    <s v="ORCL IN OSSI"/>
    <s v="504826 - 1CV:GSC-Business Analytics - PaaS"/>
    <s v="009B"/>
    <s v="Y"/>
    <s v="Y"/>
    <s v="Unrecognized"/>
    <n v="8"/>
    <s v="AED"/>
    <n v="113.39"/>
    <n v="813.38"/>
    <n v="907.14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286"/>
    <s v="3029624880301842"/>
    <s v="1.01.00"/>
    <s v="FP Labor -Billable Cost"/>
    <s v="Labor"/>
    <s v="CO-C"/>
    <d v="2026-02-23T00:00:00"/>
    <x v="4"/>
    <x v="8"/>
    <s v="Employee"/>
    <s v="7"/>
    <s v="ORCL EG"/>
    <s v="501646 - E6M-EMEA Tech Delivery - IaaS"/>
    <s v="008U"/>
    <s v="Y"/>
    <s v="Y"/>
    <s v="Unrecognized"/>
    <n v="9.06"/>
    <s v="AED"/>
    <n v="92.14"/>
    <n v="813.38"/>
    <n v="834.76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53852"/>
    <s v="3029616334532772"/>
    <s v="1.01.00"/>
    <s v="FP Labor -Billable Cost"/>
    <s v="Labor"/>
    <s v="CO-C"/>
    <d v="2026-02-23T00:00:00"/>
    <x v="4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1887"/>
    <s v="3029632887578191"/>
    <s v="1.01.00"/>
    <s v="FP Labor -Billable Cost"/>
    <s v="Labor"/>
    <s v="CO-C"/>
    <d v="2026-02-24T00:00:00"/>
    <x v="4"/>
    <x v="11"/>
    <s v="Employee"/>
    <s v="8"/>
    <s v="ORCL EG"/>
    <s v="509485 - 73M: EMEA Business Analytics - PaaS"/>
    <s v="008U"/>
    <s v="Y"/>
    <s v="Y"/>
    <s v="Unrecognized"/>
    <n v="8"/>
    <s v="AED"/>
    <n v="106.04"/>
    <n v="943.05"/>
    <n v="848.2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82"/>
    <s v="3029633314195271"/>
    <s v="1.01.00"/>
    <s v="FP Labor -Billable Cost"/>
    <s v="Labor"/>
    <s v="CO-C"/>
    <d v="2026-02-24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178"/>
    <s v="3029627474514582"/>
    <s v="1.01.00"/>
    <s v="FP Labor -Billable Cost"/>
    <s v="Labor"/>
    <s v="CO-C"/>
    <d v="2026-02-24T00:00:00"/>
    <x v="4"/>
    <x v="1"/>
    <s v="Employee"/>
    <s v="8"/>
    <s v="ORCL EG"/>
    <s v="501646 - E6M-EMEA Tech Delivery - IaaS"/>
    <s v="008U"/>
    <s v="Y"/>
    <s v="Y"/>
    <s v="Unrecognized"/>
    <n v="8"/>
    <s v="AED"/>
    <n v="106.04"/>
    <n v="943.05"/>
    <n v="848.2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102"/>
    <s v="3029632892811491"/>
    <s v="1.01.00"/>
    <s v="FP Labor -Billable Cost"/>
    <s v="Labor"/>
    <s v="CO-C"/>
    <d v="2026-02-24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155"/>
    <s v="3029636933969061"/>
    <s v="1.01.00"/>
    <s v="FP Labor -Billable Cost"/>
    <s v="Labor"/>
    <s v="CO-C"/>
    <d v="2026-02-24T00:00:00"/>
    <x v="4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47"/>
    <s v="3029627195788192"/>
    <s v="1.01.00"/>
    <s v="FP Labor -Billable Cost"/>
    <s v="Labor"/>
    <s v="CO-C"/>
    <d v="2026-02-24T00:00:00"/>
    <x v="4"/>
    <x v="7"/>
    <s v="Employee"/>
    <s v="7"/>
    <s v="ORCL EG"/>
    <s v="501646 - E6M-EMEA Tech Delivery - IaaS"/>
    <s v="008U"/>
    <s v="Y"/>
    <s v="Y"/>
    <s v="Unrecognized"/>
    <n v="8"/>
    <s v="AED"/>
    <n v="91.85"/>
    <n v="813.38"/>
    <n v="734.7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082"/>
    <s v="3029631793139591"/>
    <s v="1.01.00"/>
    <s v="FP Labor -Billable Cost"/>
    <s v="Labor"/>
    <s v="CO-C"/>
    <d v="2026-02-24T00:00:00"/>
    <x v="4"/>
    <x v="10"/>
    <s v="Employee"/>
    <s v="8"/>
    <s v="ORCL EG"/>
    <s v="502416 - 3WP-EMEA Delivery Middleware - IaaS"/>
    <s v="008U"/>
    <s v="Y"/>
    <s v="Y"/>
    <s v="Unrecognized"/>
    <n v="8"/>
    <s v="AED"/>
    <n v="106.04"/>
    <n v="943.05"/>
    <n v="848.2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52185"/>
    <s v="1527866442:1"/>
    <s v="1.01.00"/>
    <s v="FP Labor -Billable Cost"/>
    <s v="Labor"/>
    <s v="CO-C"/>
    <d v="2026-02-24T00:00:00"/>
    <x v="4"/>
    <x v="3"/>
    <s v="Employee"/>
    <s v="7"/>
    <s v="ORCL IN OSSI"/>
    <s v="504826 - 1CV:GSC-Business Analytics - PaaS"/>
    <s v="009B"/>
    <s v="Y"/>
    <s v="Y"/>
    <s v="Unrecognized"/>
    <n v="8"/>
    <s v="AED"/>
    <n v="113.52"/>
    <n v="813.38"/>
    <n v="908.1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177"/>
    <s v="3029624880301862"/>
    <s v="1.01.00"/>
    <s v="FP Labor -Billable Cost"/>
    <s v="Labor"/>
    <s v="CO-C"/>
    <d v="2026-02-24T00:00:00"/>
    <x v="4"/>
    <x v="8"/>
    <s v="Employee"/>
    <s v="7"/>
    <s v="ORCL EG"/>
    <s v="501646 - E6M-EMEA Tech Delivery - IaaS"/>
    <s v="008U"/>
    <s v="Y"/>
    <s v="Y"/>
    <s v="Unrecognized"/>
    <n v="9.06"/>
    <s v="AED"/>
    <n v="91.84"/>
    <n v="813.38"/>
    <n v="832.11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16651"/>
    <s v="3029616334532792"/>
    <s v="1.01.00"/>
    <s v="FP Labor -Billable Cost"/>
    <s v="Labor"/>
    <s v="CO-C"/>
    <d v="2026-02-24T00:00:00"/>
    <x v="4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58"/>
    <s v="3029632347861761"/>
    <s v="1.01.00"/>
    <s v="FP Labor -Billable Cost"/>
    <s v="Labor"/>
    <s v="CO-C"/>
    <d v="2026-02-24T00:00:00"/>
    <x v="4"/>
    <x v="9"/>
    <s v="Employee"/>
    <s v="7"/>
    <s v="ORCL EG"/>
    <s v="501646 - E6M-EMEA Tech Delivery - IaaS"/>
    <s v="008U"/>
    <s v="Y"/>
    <s v="Y"/>
    <s v="Unrecognized"/>
    <n v="8"/>
    <s v="AED"/>
    <n v="91.85"/>
    <n v="813.38"/>
    <n v="734.7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90026"/>
    <s v="3029632887578221"/>
    <s v="1.01.00"/>
    <s v="FP Labor -Billable Cost"/>
    <s v="Labor"/>
    <s v="CO-C"/>
    <d v="2026-02-25T00:00:00"/>
    <x v="4"/>
    <x v="11"/>
    <s v="Employee"/>
    <s v="8"/>
    <s v="ORCL EG"/>
    <s v="509485 - 73M: EMEA Business Analytics - PaaS"/>
    <s v="008U"/>
    <s v="Y"/>
    <s v="Y"/>
    <s v="Unrecognized"/>
    <n v="8"/>
    <s v="AED"/>
    <n v="106.04"/>
    <n v="943.05"/>
    <n v="848.2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11485"/>
    <s v="3029633314195301"/>
    <s v="1.01.00"/>
    <s v="FP Labor -Billable Cost"/>
    <s v="Labor"/>
    <s v="CO-C"/>
    <d v="2026-02-25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89894"/>
    <s v="3029627474514602"/>
    <s v="1.01.00"/>
    <s v="FP Labor -Billable Cost"/>
    <s v="Labor"/>
    <s v="CO-C"/>
    <d v="2026-02-25T00:00:00"/>
    <x v="4"/>
    <x v="1"/>
    <s v="Employee"/>
    <s v="8"/>
    <s v="ORCL EG"/>
    <s v="501646 - E6M-EMEA Tech Delivery - IaaS"/>
    <s v="008U"/>
    <s v="Y"/>
    <s v="Y"/>
    <s v="Unrecognized"/>
    <n v="8"/>
    <s v="AED"/>
    <n v="106.04"/>
    <n v="943.05"/>
    <n v="848.2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89836"/>
    <s v="3029632892811521"/>
    <s v="1.01.00"/>
    <s v="FP Labor -Billable Cost"/>
    <s v="Labor"/>
    <s v="CO-C"/>
    <d v="2026-02-25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154"/>
    <s v="3029636933969091"/>
    <s v="1.01.00"/>
    <s v="FP Labor -Billable Cost"/>
    <s v="Labor"/>
    <s v="CO-C"/>
    <d v="2026-02-25T00:00:00"/>
    <x v="4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89910"/>
    <s v="3029627195788212"/>
    <s v="1.01.00"/>
    <s v="FP Labor -Billable Cost"/>
    <s v="Labor"/>
    <s v="CO-C"/>
    <d v="2026-02-25T00:00:00"/>
    <x v="4"/>
    <x v="7"/>
    <s v="Employee"/>
    <s v="7"/>
    <s v="ORCL EG"/>
    <s v="501646 - E6M-EMEA Tech Delivery - IaaS"/>
    <s v="008U"/>
    <s v="Y"/>
    <s v="Y"/>
    <s v="Unrecognized"/>
    <n v="8"/>
    <s v="AED"/>
    <n v="91.85"/>
    <n v="813.38"/>
    <n v="734.7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89995"/>
    <s v="3029631793139611"/>
    <s v="1.01.00"/>
    <s v="FP Labor -Billable Cost"/>
    <s v="Labor"/>
    <s v="CO-C"/>
    <d v="2026-02-25T00:00:00"/>
    <x v="4"/>
    <x v="10"/>
    <s v="Employee"/>
    <s v="8"/>
    <s v="ORCL EG"/>
    <s v="502416 - 3WP-EMEA Delivery Middleware - IaaS"/>
    <s v="008U"/>
    <s v="Y"/>
    <s v="Y"/>
    <s v="Unrecognized"/>
    <n v="8"/>
    <s v="AED"/>
    <n v="106.04"/>
    <n v="943.05"/>
    <n v="848.2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07324"/>
    <s v="1527866443:1"/>
    <s v="1.01.00"/>
    <s v="FP Labor -Billable Cost"/>
    <s v="Labor"/>
    <s v="CO-C"/>
    <d v="2026-02-25T00:00:00"/>
    <x v="4"/>
    <x v="3"/>
    <s v="Employee"/>
    <s v="7"/>
    <s v="ORCL IN OSSI"/>
    <s v="504826 - 1CV:GSC-Business Analytics - PaaS"/>
    <s v="009B"/>
    <s v="Y"/>
    <s v="Y"/>
    <s v="Unrecognized"/>
    <n v="8"/>
    <s v="AED"/>
    <n v="113.52"/>
    <n v="813.38"/>
    <n v="908.1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89895"/>
    <s v="3029624880301882"/>
    <s v="1.01.00"/>
    <s v="FP Labor -Billable Cost"/>
    <s v="Labor"/>
    <s v="CO-C"/>
    <d v="2026-02-25T00:00:00"/>
    <x v="4"/>
    <x v="8"/>
    <s v="Employee"/>
    <s v="7"/>
    <s v="ORCL EG"/>
    <s v="501646 - E6M-EMEA Tech Delivery - IaaS"/>
    <s v="008U"/>
    <s v="Y"/>
    <s v="Y"/>
    <s v="Unrecognized"/>
    <n v="9.06"/>
    <s v="AED"/>
    <n v="91.84"/>
    <n v="813.38"/>
    <n v="832.11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11390"/>
    <s v="3029616334532812"/>
    <s v="1.01.00"/>
    <s v="FP Labor -Billable Cost"/>
    <s v="Labor"/>
    <s v="CO-C"/>
    <d v="2026-02-25T00:00:00"/>
    <x v="4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89810"/>
    <s v="3029633368094771"/>
    <s v="1.01.00"/>
    <s v="FP Labor -Billable Cost"/>
    <s v="Labor"/>
    <s v="CO-C"/>
    <d v="2026-02-25T00:00:00"/>
    <x v="4"/>
    <x v="9"/>
    <s v="Employee"/>
    <s v="7"/>
    <s v="ORCL EG"/>
    <s v="501646 - E6M-EMEA Tech Delivery - IaaS"/>
    <s v="008U"/>
    <s v="Y"/>
    <s v="Y"/>
    <s v="Unrecognized"/>
    <n v="8"/>
    <s v="AED"/>
    <n v="91.85"/>
    <n v="813.38"/>
    <n v="734.7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722"/>
    <s v="3029632887578251"/>
    <s v="1.01.00"/>
    <s v="FP Labor -Billable Cost"/>
    <s v="Labor"/>
    <s v="CO-C"/>
    <d v="2026-02-26T00:00:00"/>
    <x v="4"/>
    <x v="11"/>
    <s v="Employee"/>
    <s v="8"/>
    <s v="ORCL EG"/>
    <s v="509485 - 73M: EMEA Business Analytics - PaaS"/>
    <s v="008U"/>
    <s v="Y"/>
    <s v="Y"/>
    <s v="Unrecognized"/>
    <n v="8"/>
    <s v="AED"/>
    <n v="105.72"/>
    <n v="943.05"/>
    <n v="845.74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805092"/>
    <s v="3029633314195321"/>
    <s v="1.01.00"/>
    <s v="FP Labor -Billable Cost"/>
    <s v="Labor"/>
    <s v="CO-C"/>
    <d v="2026-02-26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632"/>
    <s v="3029632892811551"/>
    <s v="1.01.00"/>
    <s v="FP Labor -Billable Cost"/>
    <s v="Labor"/>
    <s v="CO-C"/>
    <d v="2026-02-26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578153"/>
    <s v="3029636933969121"/>
    <s v="1.01.00"/>
    <s v="FP Labor -Billable Cost"/>
    <s v="Labor"/>
    <s v="CO-C"/>
    <d v="2026-02-26T00:00:00"/>
    <x v="4"/>
    <x v="6"/>
    <s v="Employee"/>
    <s v="7"/>
    <s v="ORCL AE"/>
    <s v="503896 - 6FT:EMEA OCS Tech Other Delivery"/>
    <s v="0069"/>
    <s v="Y"/>
    <s v="Y"/>
    <s v="Unrecognized"/>
    <n v="3"/>
    <s v="AED"/>
    <n v="433.37"/>
    <n v="813.38"/>
    <n v="1300.1099999999999"/>
    <n v="0"/>
    <n v="2440.1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156"/>
    <s v="3029627195788232"/>
    <s v="1.01.00"/>
    <s v="FP Labor -Billable Cost"/>
    <s v="Labor"/>
    <s v="CO-C"/>
    <d v="2026-02-26T00:00:00"/>
    <x v="4"/>
    <x v="7"/>
    <s v="Employee"/>
    <s v="7"/>
    <s v="ORCL EG"/>
    <s v="501646 - E6M-EMEA Tech Delivery - IaaS"/>
    <s v="008U"/>
    <s v="Y"/>
    <s v="Y"/>
    <s v="Unrecognized"/>
    <n v="8"/>
    <s v="AED"/>
    <n v="91.57"/>
    <n v="813.38"/>
    <n v="732.5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672"/>
    <s v="3029631793139631"/>
    <s v="1.01.00"/>
    <s v="FP Labor -Billable Cost"/>
    <s v="Labor"/>
    <s v="CO-C"/>
    <d v="2026-02-26T00:00:00"/>
    <x v="4"/>
    <x v="10"/>
    <s v="Employee"/>
    <s v="8"/>
    <s v="ORCL EG"/>
    <s v="502416 - 3WP-EMEA Delivery Middleware - IaaS"/>
    <s v="008U"/>
    <s v="Y"/>
    <s v="Y"/>
    <s v="Unrecognized"/>
    <n v="8"/>
    <s v="AED"/>
    <n v="105.72"/>
    <n v="943.05"/>
    <n v="845.74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25198"/>
    <s v="1527866444:1"/>
    <s v="1.01.00"/>
    <s v="FP Labor -Billable Cost"/>
    <s v="Labor"/>
    <s v="CO-C"/>
    <d v="2026-02-26T00:00:00"/>
    <x v="4"/>
    <x v="3"/>
    <s v="Employee"/>
    <s v="7"/>
    <s v="ORCL IN OSSI"/>
    <s v="504826 - 1CV:GSC-Business Analytics - PaaS"/>
    <s v="009B"/>
    <s v="Y"/>
    <s v="Y"/>
    <s v="Unrecognized"/>
    <n v="8"/>
    <s v="AED"/>
    <n v="113.45"/>
    <n v="813.38"/>
    <n v="907.6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434"/>
    <s v="3029624880301902"/>
    <s v="1.01.00"/>
    <s v="FP Labor -Billable Cost"/>
    <s v="Labor"/>
    <s v="CO-C"/>
    <d v="2026-02-26T00:00:00"/>
    <x v="4"/>
    <x v="8"/>
    <s v="Employee"/>
    <s v="7"/>
    <s v="ORCL EG"/>
    <s v="501646 - E6M-EMEA Tech Delivery - IaaS"/>
    <s v="008U"/>
    <s v="Y"/>
    <s v="Y"/>
    <s v="Unrecognized"/>
    <n v="9.06"/>
    <s v="AED"/>
    <n v="91.57"/>
    <n v="813.38"/>
    <n v="829.62"/>
    <n v="0"/>
    <n v="7369.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805074"/>
    <s v="3029616334532832"/>
    <s v="1.01.00"/>
    <s v="FP Labor -Billable Cost"/>
    <s v="Labor"/>
    <s v="CO-C"/>
    <d v="2026-02-26T00:00:00"/>
    <x v="4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323"/>
    <s v="3029632347861801"/>
    <s v="1.01.00"/>
    <s v="FP Labor -Billable Cost"/>
    <s v="Labor"/>
    <s v="CO-C"/>
    <d v="2026-02-26T00:00:00"/>
    <x v="4"/>
    <x v="9"/>
    <s v="Employee"/>
    <s v="7"/>
    <s v="ORCL EG"/>
    <s v="501646 - E6M-EMEA Tech Delivery - IaaS"/>
    <s v="008U"/>
    <s v="Y"/>
    <s v="Y"/>
    <s v="Unrecognized"/>
    <n v="8"/>
    <s v="AED"/>
    <n v="91.57"/>
    <n v="813.38"/>
    <n v="732.5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928521"/>
    <s v="3029633314195341"/>
    <s v="1.01.00"/>
    <s v="FP Labor -Billable Cost"/>
    <s v="Labor"/>
    <s v="CO-C"/>
    <d v="2026-02-27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924658"/>
    <s v="3029632892811581"/>
    <s v="1.01.00"/>
    <s v="FP Labor -Billable Cost"/>
    <s v="Labor"/>
    <s v="CO-C"/>
    <d v="2026-02-27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919721"/>
    <s v="1527866445:1"/>
    <s v="1.01.00"/>
    <s v="FP Labor -Billable Cost"/>
    <s v="Labor"/>
    <s v="CO-C"/>
    <d v="2026-02-27T00:00:00"/>
    <x v="4"/>
    <x v="3"/>
    <s v="Employee"/>
    <s v="7"/>
    <s v="ORCL IN OSSI"/>
    <s v="504826 - 1CV:GSC-Business Analytics - PaaS"/>
    <s v="009B"/>
    <s v="Y"/>
    <s v="Y"/>
    <s v="Unrecognized"/>
    <n v="8"/>
    <s v="AED"/>
    <n v="113.45"/>
    <n v="813.38"/>
    <n v="907.6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928351"/>
    <s v="3029616334532852"/>
    <s v="1.01.00"/>
    <s v="FP Labor -Billable Cost"/>
    <s v="Labor"/>
    <s v="CO-C"/>
    <d v="2026-02-27T00:00:00"/>
    <x v="4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08671"/>
    <s v="3029641115848691"/>
    <s v="1.01.00"/>
    <s v="FP Labor -Billable Cost"/>
    <s v="Labor"/>
    <s v="CO-C"/>
    <d v="2026-03-01T00:00:00"/>
    <x v="5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222410"/>
    <s v="3029635531666871"/>
    <s v="1.01.00"/>
    <s v="FP Labor -Billable Cost"/>
    <s v="Labor"/>
    <s v="CO-C"/>
    <d v="2026-03-02T00:00:00"/>
    <x v="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08669"/>
    <s v="3029638738343422"/>
    <s v="1.01.00"/>
    <s v="FP Labor -Billable Cost"/>
    <s v="Labor"/>
    <s v="CO-C"/>
    <d v="2026-03-02T00:00:00"/>
    <x v="5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294295"/>
    <s v="1530148738:2"/>
    <s v="1.01.00"/>
    <s v="FP Labor -Billable Cost"/>
    <s v="Labor"/>
    <s v="CO-C"/>
    <d v="2026-03-02T00:00:00"/>
    <x v="5"/>
    <x v="3"/>
    <s v="Employee"/>
    <s v="7"/>
    <s v="ORCL IN OSSI"/>
    <s v="504826 - 1CV:GSC-Business Analytics - PaaS"/>
    <s v="009B"/>
    <s v="Y"/>
    <s v="Y"/>
    <s v="Unrecognized"/>
    <n v="4"/>
    <s v="AED"/>
    <n v="113.45"/>
    <n v="813.38"/>
    <n v="453.8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907619"/>
    <s v="3029634166896321"/>
    <s v="1.01.00"/>
    <s v="FP Labor -Billable Cost"/>
    <s v="Labor"/>
    <s v="CO-C"/>
    <d v="2026-03-02T00:00:00"/>
    <x v="5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222409"/>
    <s v="3029635531666891"/>
    <s v="1.01.00"/>
    <s v="FP Labor -Billable Cost"/>
    <s v="Labor"/>
    <s v="CO-C"/>
    <d v="2026-03-03T00:00:00"/>
    <x v="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08666"/>
    <s v="3029641115848731"/>
    <s v="1.01.00"/>
    <s v="FP Labor -Billable Cost"/>
    <s v="Labor"/>
    <s v="CO-C"/>
    <d v="2026-03-03T00:00:00"/>
    <x v="5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294336"/>
    <s v="1530148740:2"/>
    <s v="1.01.00"/>
    <s v="FP Labor -Billable Cost"/>
    <s v="Labor"/>
    <s v="CO-C"/>
    <d v="2026-03-03T00:00:00"/>
    <x v="5"/>
    <x v="3"/>
    <s v="Employee"/>
    <s v="7"/>
    <s v="ORCL IN OSSI"/>
    <s v="504826 - 1CV:GSC-Business Analytics - PaaS"/>
    <s v="009B"/>
    <s v="Y"/>
    <s v="Y"/>
    <s v="Unrecognized"/>
    <n v="4"/>
    <s v="AED"/>
    <n v="113.45"/>
    <n v="813.38"/>
    <n v="453.8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210220"/>
    <s v="3029634166896341"/>
    <s v="1.01.00"/>
    <s v="FP Labor -Billable Cost"/>
    <s v="Labor"/>
    <s v="CO-C"/>
    <d v="2026-03-03T00:00:00"/>
    <x v="5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10376"/>
    <s v="1530148742:2"/>
    <s v="1.01.00"/>
    <s v="FP Labor -Billable Cost"/>
    <s v="Labor"/>
    <s v="CO-C"/>
    <d v="2026-03-04T00:00:00"/>
    <x v="5"/>
    <x v="3"/>
    <s v="Employee"/>
    <s v="7"/>
    <s v="ORCL IN OSSI"/>
    <s v="504826 - 1CV:GSC-Business Analytics - PaaS"/>
    <s v="009B"/>
    <s v="Y"/>
    <s v="Y"/>
    <s v="Unrecognized"/>
    <n v="4"/>
    <s v="AED"/>
    <n v="113.45"/>
    <n v="813.38"/>
    <n v="453.8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222355"/>
    <s v="3029634166896361"/>
    <s v="1.01.00"/>
    <s v="FP Labor -Billable Cost"/>
    <s v="Labor"/>
    <s v="CO-C"/>
    <d v="2026-03-04T00:00:00"/>
    <x v="5"/>
    <x v="4"/>
    <s v="Employee"/>
    <s v="6"/>
    <s v="ORCL AE"/>
    <s v="509505 - 75M: EMEA Digital - PaaS"/>
    <s v="0069"/>
    <s v="Y"/>
    <s v="Y"/>
    <s v="Unrecognized"/>
    <n v="8"/>
    <s v="AED"/>
    <n v="433.37"/>
    <n v="754.44"/>
    <n v="3466.9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07710"/>
    <s v="1530148744:2"/>
    <s v="1.01.00"/>
    <s v="FP Labor -Billable Cost"/>
    <s v="Labor"/>
    <s v="CO-C"/>
    <d v="2026-03-05T00:00:00"/>
    <x v="5"/>
    <x v="3"/>
    <s v="Employee"/>
    <s v="7"/>
    <s v="ORCL IN OSSI"/>
    <s v="504826 - 1CV:GSC-Business Analytics - PaaS"/>
    <s v="009B"/>
    <s v="Y"/>
    <s v="Y"/>
    <s v="Unrecognized"/>
    <n v="4"/>
    <s v="AED"/>
    <n v="111.96"/>
    <n v="813.38"/>
    <n v="447.8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08554"/>
    <s v="3029634166896391"/>
    <s v="1.01.00"/>
    <s v="FP Labor -Billable Cost"/>
    <s v="Labor"/>
    <s v="CO-C"/>
    <d v="2026-03-05T00:00:00"/>
    <x v="5"/>
    <x v="4"/>
    <s v="Employee"/>
    <s v="6"/>
    <s v="ORCL AE"/>
    <s v="509505 - 75M: EMEA Digital - PaaS"/>
    <s v="0069"/>
    <s v="Y"/>
    <s v="Y"/>
    <s v="Unrecognized"/>
    <n v="4"/>
    <s v="AED"/>
    <n v="433.37"/>
    <n v="754.44"/>
    <n v="1733.4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98945"/>
    <s v="1530148746:2"/>
    <s v="1.01.00"/>
    <s v="FP Labor -Billable Cost"/>
    <s v="Labor"/>
    <s v="CO-C"/>
    <d v="2026-03-06T00:00:00"/>
    <x v="5"/>
    <x v="3"/>
    <s v="Employee"/>
    <s v="7"/>
    <s v="ORCL IN OSSI"/>
    <s v="504826 - 1CV:GSC-Business Analytics - PaaS"/>
    <s v="009B"/>
    <s v="Y"/>
    <s v="Y"/>
    <s v="Unrecognized"/>
    <n v="4"/>
    <s v="AED"/>
    <n v="112.63"/>
    <n v="813.38"/>
    <n v="450.53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97889"/>
    <s v="3029640792239991"/>
    <s v="1.01.00"/>
    <s v="FP Labor -Billable Cost"/>
    <s v="Labor"/>
    <s v="CO-C"/>
    <d v="2026-03-07T00:00:00"/>
    <x v="6"/>
    <x v="0"/>
    <s v="Employee"/>
    <s v="7"/>
    <s v="ORCL AE"/>
    <s v="509505 - 75M: EMEA Digital - PaaS"/>
    <s v="0069"/>
    <s v="Y"/>
    <s v="Y"/>
    <s v="Unrecognized"/>
    <n v="6"/>
    <s v="AED"/>
    <n v="433.37"/>
    <n v="813.38"/>
    <n v="2600.2199999999998"/>
    <n v="0"/>
    <n v="4880.270000000000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97887"/>
    <s v="3029640792240021"/>
    <s v="1.01.00"/>
    <s v="FP Labor -Billable Cost"/>
    <s v="Labor"/>
    <s v="CO-C"/>
    <d v="2026-03-08T00:00:00"/>
    <x v="6"/>
    <x v="0"/>
    <s v="Employee"/>
    <s v="7"/>
    <s v="ORCL AE"/>
    <s v="509505 - 75M: EMEA Digital - PaaS"/>
    <s v="0069"/>
    <s v="Y"/>
    <s v="Y"/>
    <s v="Unrecognized"/>
    <n v="10"/>
    <s v="AED"/>
    <n v="433.37"/>
    <n v="813.38"/>
    <n v="4333.7"/>
    <n v="0"/>
    <n v="8133.7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08990"/>
    <s v="3029641118675511"/>
    <s v="1.01.00"/>
    <s v="FP Labor -Billable Cost"/>
    <s v="Labor"/>
    <s v="CO-C"/>
    <d v="2026-03-08T00:00:00"/>
    <x v="6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08988"/>
    <s v="3029638751359042"/>
    <s v="1.01.00"/>
    <s v="FP Labor -Billable Cost"/>
    <s v="Labor"/>
    <s v="CO-C"/>
    <d v="2026-03-09T00:00:00"/>
    <x v="6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17723"/>
    <s v="3029640542325161"/>
    <s v="1.01.00"/>
    <s v="FP Labor -Billable Cost"/>
    <s v="Labor"/>
    <s v="CO-C"/>
    <d v="2026-03-09T00:00:00"/>
    <x v="6"/>
    <x v="14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05367"/>
    <s v="1531081092:3"/>
    <s v="1.01.00"/>
    <s v="FP Labor -Billable Cost"/>
    <s v="Labor"/>
    <s v="CO-C"/>
    <d v="2026-03-09T00:00:00"/>
    <x v="6"/>
    <x v="3"/>
    <s v="Employee"/>
    <s v="7"/>
    <s v="ORCL IN OSSI"/>
    <s v="504826 - 1CV:GSC-Business Analytics - PaaS"/>
    <s v="009B"/>
    <s v="Y"/>
    <s v="Y"/>
    <s v="Unrecognized"/>
    <n v="5"/>
    <s v="AED"/>
    <n v="112.45"/>
    <n v="813.38"/>
    <n v="562.27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08985"/>
    <s v="3029641118675551"/>
    <s v="1.01.00"/>
    <s v="FP Labor -Billable Cost"/>
    <s v="Labor"/>
    <s v="CO-C"/>
    <d v="2026-03-10T00:00:00"/>
    <x v="6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17715"/>
    <s v="3029640542325181"/>
    <s v="1.01.00"/>
    <s v="FP Labor -Billable Cost"/>
    <s v="Labor"/>
    <s v="CO-C"/>
    <d v="2026-03-10T00:00:00"/>
    <x v="6"/>
    <x v="14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17361"/>
    <s v="1531081094:3"/>
    <s v="1.01.00"/>
    <s v="FP Labor -Billable Cost"/>
    <s v="Labor"/>
    <s v="CO-C"/>
    <d v="2026-03-10T00:00:00"/>
    <x v="6"/>
    <x v="3"/>
    <s v="Employee"/>
    <s v="7"/>
    <s v="ORCL IN OSSI"/>
    <s v="504826 - 1CV:GSC-Business Analytics - PaaS"/>
    <s v="009B"/>
    <s v="Y"/>
    <s v="Y"/>
    <s v="Unrecognized"/>
    <n v="5"/>
    <s v="AED"/>
    <n v="112.45"/>
    <n v="813.38"/>
    <n v="562.27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281722"/>
    <s v="1531081096:3"/>
    <s v="1.01.00"/>
    <s v="FP Labor -Billable Cost"/>
    <s v="Labor"/>
    <s v="CO-C"/>
    <d v="2026-03-11T00:00:00"/>
    <x v="6"/>
    <x v="3"/>
    <s v="Employee"/>
    <s v="7"/>
    <s v="ORCL IN OSSI"/>
    <s v="504826 - 1CV:GSC-Business Analytics - PaaS"/>
    <s v="009B"/>
    <s v="Y"/>
    <s v="Y"/>
    <s v="Unrecognized"/>
    <n v="5"/>
    <s v="AED"/>
    <n v="112.38"/>
    <n v="813.38"/>
    <n v="561.91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04938"/>
    <s v="1531081098:3"/>
    <s v="1.01.00"/>
    <s v="FP Labor -Billable Cost"/>
    <s v="Labor"/>
    <s v="CO-C"/>
    <d v="2026-03-13T00:00:00"/>
    <x v="6"/>
    <x v="3"/>
    <s v="Employee"/>
    <s v="7"/>
    <s v="ORCL IN OSSI"/>
    <s v="504826 - 1CV:GSC-Business Analytics - PaaS"/>
    <s v="009B"/>
    <s v="Y"/>
    <s v="Y"/>
    <s v="Unrecognized"/>
    <n v="5"/>
    <s v="AED"/>
    <n v="111.9"/>
    <n v="813.38"/>
    <n v="559.51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98004"/>
    <s v="3029640799230971"/>
    <s v="1.01.00"/>
    <s v="FP Labor -Billable Cost"/>
    <s v="Labor"/>
    <s v="CO-C"/>
    <d v="2026-03-14T00:00:00"/>
    <x v="7"/>
    <x v="0"/>
    <s v="Employee"/>
    <s v="7"/>
    <s v="ORCL AE"/>
    <s v="509505 - 75M: EMEA Digital - PaaS"/>
    <s v="0069"/>
    <s v="Y"/>
    <s v="Y"/>
    <s v="Unrecognized"/>
    <n v="6"/>
    <s v="AED"/>
    <n v="433.37"/>
    <n v="813.38"/>
    <n v="2600.2199999999998"/>
    <n v="0"/>
    <n v="4880.270000000000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98002"/>
    <s v="3029640799231001"/>
    <s v="1.01.00"/>
    <s v="FP Labor -Billable Cost"/>
    <s v="Labor"/>
    <s v="CO-C"/>
    <d v="2026-03-15T00:00:00"/>
    <x v="7"/>
    <x v="0"/>
    <s v="Employee"/>
    <s v="7"/>
    <s v="ORCL AE"/>
    <s v="509505 - 75M: EMEA Digital - PaaS"/>
    <s v="0069"/>
    <s v="Y"/>
    <s v="Y"/>
    <s v="Unrecognized"/>
    <n v="10"/>
    <s v="AED"/>
    <n v="433.37"/>
    <n v="813.38"/>
    <n v="4333.7"/>
    <n v="0"/>
    <n v="8133.7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32241"/>
    <s v="3029640538727181"/>
    <s v="1.01.00"/>
    <s v="FP Labor -Billable Cost"/>
    <s v="Labor"/>
    <s v="CO-C"/>
    <d v="2026-03-16T00:00:00"/>
    <x v="7"/>
    <x v="14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06916"/>
    <s v="1532134872:3"/>
    <s v="1.01.00"/>
    <s v="FP Labor -Billable Cost"/>
    <s v="Labor"/>
    <s v="CO-C"/>
    <d v="2026-03-16T00:00:00"/>
    <x v="7"/>
    <x v="3"/>
    <s v="Employee"/>
    <s v="7"/>
    <s v="ORCL IN OSSI"/>
    <s v="504826 - 1CV:GSC-Business Analytics - PaaS"/>
    <s v="009B"/>
    <s v="Y"/>
    <s v="Y"/>
    <s v="Unrecognized"/>
    <n v="5"/>
    <s v="AED"/>
    <n v="111.59"/>
    <n v="813.38"/>
    <n v="557.9400000000000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30916"/>
    <s v="3029639264136641"/>
    <s v="1.01.00"/>
    <s v="FP Labor -Billable Cost"/>
    <s v="Labor"/>
    <s v="CO-C"/>
    <d v="2026-03-17T00:00:00"/>
    <x v="7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32233"/>
    <s v="3029640538727201"/>
    <s v="1.01.00"/>
    <s v="FP Labor -Billable Cost"/>
    <s v="Labor"/>
    <s v="CO-C"/>
    <d v="2026-03-17T00:00:00"/>
    <x v="7"/>
    <x v="14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09423"/>
    <s v="1532134874:3"/>
    <s v="1.01.00"/>
    <s v="FP Labor -Billable Cost"/>
    <s v="Labor"/>
    <s v="CO-C"/>
    <d v="2026-03-17T00:00:00"/>
    <x v="7"/>
    <x v="3"/>
    <s v="Employee"/>
    <s v="7"/>
    <s v="ORCL IN OSSI"/>
    <s v="504826 - 1CV:GSC-Business Analytics - PaaS"/>
    <s v="009B"/>
    <s v="Y"/>
    <s v="Y"/>
    <s v="Unrecognized"/>
    <n v="5"/>
    <s v="AED"/>
    <n v="111.63"/>
    <n v="813.38"/>
    <n v="558.13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09307"/>
    <s v="3029639264136672"/>
    <s v="1.01.00"/>
    <s v="FP Labor -Billable Cost"/>
    <s v="Labor"/>
    <s v="CO-C"/>
    <d v="2026-03-18T00:00:00"/>
    <x v="7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285094"/>
    <s v="1532134876:3"/>
    <s v="1.01.00"/>
    <s v="FP Labor -Billable Cost"/>
    <s v="Labor"/>
    <s v="CO-C"/>
    <d v="2026-03-18T00:00:00"/>
    <x v="7"/>
    <x v="3"/>
    <s v="Employee"/>
    <s v="7"/>
    <s v="ORCL IN OSSI"/>
    <s v="504826 - 1CV:GSC-Business Analytics - PaaS"/>
    <s v="009B"/>
    <s v="Y"/>
    <s v="Y"/>
    <s v="Unrecognized"/>
    <n v="5"/>
    <s v="AED"/>
    <n v="111.68"/>
    <n v="813.38"/>
    <n v="558.4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798"/>
    <s v="3029642609295911"/>
    <s v="1.01.00"/>
    <s v="FP Labor -Billable Cost"/>
    <s v="Labor"/>
    <s v="CO-C"/>
    <d v="2026-03-19T00:00:00"/>
    <x v="7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290100"/>
    <s v="1532134879:3"/>
    <s v="1.01.00"/>
    <s v="FP Labor -Billable Cost"/>
    <s v="Labor"/>
    <s v="CO-C"/>
    <d v="2026-03-20T00:00:00"/>
    <x v="7"/>
    <x v="3"/>
    <s v="Employee"/>
    <s v="7"/>
    <s v="ORCL IN OSSI"/>
    <s v="504826 - 1CV:GSC-Business Analytics - PaaS"/>
    <s v="009B"/>
    <s v="Y"/>
    <s v="Y"/>
    <s v="Unrecognized"/>
    <n v="5"/>
    <s v="AED"/>
    <n v="111.37"/>
    <n v="813.38"/>
    <n v="556.87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767"/>
    <s v="3029642605560451"/>
    <s v="1.01.00"/>
    <s v="FP Labor -Billable Cost"/>
    <s v="Labor"/>
    <s v="CO-C"/>
    <d v="2026-03-22T00:00:00"/>
    <x v="8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06769"/>
    <s v="3029637449766791"/>
    <s v="1.01.00"/>
    <s v="FP Labor -Billable Cost"/>
    <s v="Labor"/>
    <s v="CO-C"/>
    <d v="2026-03-23T00:00:00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766"/>
    <s v="3029642605560471"/>
    <s v="1.01.00"/>
    <s v="FP Labor -Billable Cost"/>
    <s v="Labor"/>
    <s v="CO-C"/>
    <d v="2026-03-23T00:00:00"/>
    <x v="8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32239"/>
    <s v="3029640537610491"/>
    <s v="1.01.00"/>
    <s v="FP Labor -Billable Cost"/>
    <s v="Labor"/>
    <s v="CO-C"/>
    <d v="2026-03-23T00:00:00"/>
    <x v="8"/>
    <x v="14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66528"/>
    <s v="1532623691:2"/>
    <s v="1.01.00"/>
    <s v="FP Labor -Billable Cost"/>
    <s v="Labor"/>
    <s v="CO-C"/>
    <d v="2026-03-23T00:00:00"/>
    <x v="8"/>
    <x v="3"/>
    <s v="Employee"/>
    <s v="7"/>
    <s v="ORCL IN OSSI"/>
    <s v="504826 - 1CV:GSC-Business Analytics - PaaS"/>
    <s v="009B"/>
    <s v="Y"/>
    <s v="Y"/>
    <s v="Unrecognized"/>
    <n v="4"/>
    <s v="AED"/>
    <n v="110.1"/>
    <n v="813.38"/>
    <n v="440.4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97865"/>
    <s v="3029637449766811"/>
    <s v="1.01.00"/>
    <s v="FP Labor -Billable Cost"/>
    <s v="Labor"/>
    <s v="CO-C"/>
    <d v="2026-03-24T00:00:00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764"/>
    <s v="3029642605560491"/>
    <s v="1.01.00"/>
    <s v="FP Labor -Billable Cost"/>
    <s v="Labor"/>
    <s v="CO-C"/>
    <d v="2026-03-24T00:00:00"/>
    <x v="8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91502"/>
    <s v="3029640537610511"/>
    <s v="1.01.00"/>
    <s v="FP Labor -Billable Cost"/>
    <s v="Labor"/>
    <s v="CO-C"/>
    <d v="2026-03-24T00:00:00"/>
    <x v="8"/>
    <x v="14"/>
    <s v="Employee"/>
    <s v="8"/>
    <s v="ORCL AE - Abu Dhabi"/>
    <s v="509505 - 75M: EMEA Digital - PaaS"/>
    <s v="069F"/>
    <s v="Y"/>
    <s v="Y"/>
    <s v="Unrecognized"/>
    <n v="8"/>
    <s v="AED"/>
    <n v="589.6"/>
    <n v="943.05"/>
    <n v="4716.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702556"/>
    <s v="1532623694:2"/>
    <s v="1.01.00"/>
    <s v="FP Labor -Billable Cost"/>
    <s v="Labor"/>
    <s v="CO-C"/>
    <d v="2026-03-24T00:00:00"/>
    <x v="8"/>
    <x v="3"/>
    <s v="Employee"/>
    <s v="7"/>
    <s v="ORCL IN OSSI"/>
    <s v="504826 - 1CV:GSC-Business Analytics - PaaS"/>
    <s v="009B"/>
    <s v="Y"/>
    <s v="Y"/>
    <s v="Unrecognized"/>
    <n v="4"/>
    <s v="AED"/>
    <n v="109.79"/>
    <n v="813.38"/>
    <n v="439.14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765419"/>
    <s v="1532623697:2"/>
    <s v="1.01.00"/>
    <s v="FP Labor -Billable Cost"/>
    <s v="Labor"/>
    <s v="CO-C"/>
    <d v="2026-03-25T00:00:00"/>
    <x v="8"/>
    <x v="3"/>
    <s v="Employee"/>
    <s v="7"/>
    <s v="ORCL IN OSSI"/>
    <s v="504826 - 1CV:GSC-Business Analytics - PaaS"/>
    <s v="009B"/>
    <s v="Y"/>
    <s v="Y"/>
    <s v="Unrecognized"/>
    <n v="4"/>
    <s v="AED"/>
    <n v="109.9"/>
    <n v="813.38"/>
    <n v="439.6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58283"/>
    <s v="1532623886:2"/>
    <s v="1.01.00"/>
    <s v="FP Labor -Billable Cost"/>
    <s v="Labor"/>
    <s v="CO-C"/>
    <d v="2026-03-26T00:00:00"/>
    <x v="8"/>
    <x v="3"/>
    <s v="Employee"/>
    <s v="7"/>
    <s v="ORCL IN OSSI"/>
    <s v="504826 - 1CV:GSC-Business Analytics - PaaS"/>
    <s v="009B"/>
    <s v="Y"/>
    <s v="Y"/>
    <s v="Unrecognized"/>
    <n v="4"/>
    <s v="AED"/>
    <n v="109.79"/>
    <n v="813.38"/>
    <n v="439.1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988292"/>
    <s v="1532623700:2"/>
    <s v="1.01.00"/>
    <s v="FP Labor -Billable Cost"/>
    <s v="Labor"/>
    <s v="CO-C"/>
    <d v="2026-03-27T00:00:00"/>
    <x v="8"/>
    <x v="3"/>
    <s v="Employee"/>
    <s v="7"/>
    <s v="ORCL IN OSSI"/>
    <s v="504826 - 1CV:GSC-Business Analytics - PaaS"/>
    <s v="009B"/>
    <s v="Y"/>
    <s v="Y"/>
    <s v="Unrecognized"/>
    <n v="4"/>
    <s v="AED"/>
    <n v="109.79"/>
    <n v="813.38"/>
    <n v="439.1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42180"/>
    <s v="3029637443710041"/>
    <s v="1.01.00"/>
    <s v="FP Labor -Billable Cost"/>
    <s v="Labor"/>
    <s v="CO-C"/>
    <d v="2026-03-30T00:00:00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27622"/>
    <s v="1532623952:1"/>
    <s v="1.01.00"/>
    <s v="FP Labor -Billable Cost"/>
    <s v="Labor"/>
    <s v="CO-C"/>
    <d v="2026-03-30T00:00:00"/>
    <x v="9"/>
    <x v="3"/>
    <s v="Employee"/>
    <s v="7"/>
    <s v="ORCL IN OSSI"/>
    <s v="504826 - 1CV:GSC-Business Analytics - PaaS"/>
    <s v="009B"/>
    <s v="Y"/>
    <s v="Y"/>
    <s v="Unrecognized"/>
    <n v="4"/>
    <s v="AED"/>
    <n v="109.81"/>
    <n v="813.38"/>
    <n v="439.2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42178"/>
    <s v="3029637443710061"/>
    <s v="1.01.00"/>
    <s v="FP Labor -Billable Cost"/>
    <s v="Labor"/>
    <s v="CO-C"/>
    <d v="2026-03-31T00:00:00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590"/>
    <s v="3029641117008181"/>
    <s v="1.01.00"/>
    <s v="FP Labor -Billable Cost"/>
    <s v="Labor"/>
    <s v="CO-C"/>
    <d v="2026-03-31T00:00:00"/>
    <x v="9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08840"/>
    <s v="1532623955:1"/>
    <s v="1.01.00"/>
    <s v="FP Labor -Billable Cost"/>
    <s v="Labor"/>
    <s v="CO-C"/>
    <d v="2026-03-31T00:00:00"/>
    <x v="9"/>
    <x v="3"/>
    <s v="Employee"/>
    <s v="7"/>
    <s v="ORCL IN OSSI"/>
    <s v="504826 - 1CV:GSC-Business Analytics - PaaS"/>
    <s v="009B"/>
    <s v="Y"/>
    <s v="Y"/>
    <s v="Unrecognized"/>
    <n v="4"/>
    <s v="AED"/>
    <n v="109.81"/>
    <n v="813.38"/>
    <n v="439.2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589"/>
    <s v="3029641117008201"/>
    <s v="1.01.00"/>
    <s v="FP Labor -Billable Cost"/>
    <s v="Labor"/>
    <s v="CO-C"/>
    <d v="2026-04-01T00:00:00"/>
    <x v="9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26555"/>
    <s v="1532623958:1"/>
    <s v="1.01.00"/>
    <s v="FP Labor -Billable Cost"/>
    <s v="Labor"/>
    <s v="CO-C"/>
    <d v="2026-04-01T00:00:00"/>
    <x v="9"/>
    <x v="3"/>
    <s v="Employee"/>
    <s v="7"/>
    <s v="ORCL IN OSSI"/>
    <s v="504826 - 1CV:GSC-Business Analytics - PaaS"/>
    <s v="009B"/>
    <s v="Y"/>
    <s v="Y"/>
    <s v="Unrecognized"/>
    <n v="4"/>
    <s v="AED"/>
    <n v="109.81"/>
    <n v="813.38"/>
    <n v="439.2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588"/>
    <s v="3029641117008221"/>
    <s v="1.01.00"/>
    <s v="FP Labor -Billable Cost"/>
    <s v="Labor"/>
    <s v="CO-C"/>
    <d v="2026-04-02T00:00:00"/>
    <x v="9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05160"/>
    <s v="1532623962:1"/>
    <s v="1.01.00"/>
    <s v="FP Labor -Billable Cost"/>
    <s v="Labor"/>
    <s v="CO-C"/>
    <d v="2026-04-02T00:00:00"/>
    <x v="9"/>
    <x v="3"/>
    <s v="Employee"/>
    <s v="7"/>
    <s v="ORCL IN OSSI"/>
    <s v="504826 - 1CV:GSC-Business Analytics - PaaS"/>
    <s v="009B"/>
    <s v="Y"/>
    <s v="Y"/>
    <s v="Unrecognized"/>
    <n v="4"/>
    <s v="AED"/>
    <n v="109.81"/>
    <n v="813.38"/>
    <n v="439.2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513022"/>
    <s v="1532623964:1"/>
    <s v="1.01.00"/>
    <s v="FP Labor -Billable Cost"/>
    <s v="Labor"/>
    <s v="CO-C"/>
    <d v="2026-04-03T00:00:00"/>
    <x v="9"/>
    <x v="3"/>
    <s v="Employee"/>
    <s v="7"/>
    <s v="ORCL IN OSSI"/>
    <s v="504826 - 1CV:GSC-Business Analytics - PaaS"/>
    <s v="009B"/>
    <s v="Y"/>
    <s v="Y"/>
    <s v="Unrecognized"/>
    <n v="4"/>
    <s v="AED"/>
    <n v="109.81"/>
    <n v="813.38"/>
    <n v="439.2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05306"/>
    <s v="3029637447970431"/>
    <s v="1.01.00"/>
    <s v="FP Labor -Billable Cost"/>
    <s v="Labor"/>
    <s v="CO-C"/>
    <d v="2026-04-06T00:00:00"/>
    <x v="1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04331"/>
    <s v="1532624044:1"/>
    <s v="1.01.00"/>
    <s v="FP Labor -Billable Cost"/>
    <s v="Labor"/>
    <s v="CO-C"/>
    <d v="2026-04-06T00:00:00"/>
    <x v="10"/>
    <x v="3"/>
    <s v="Employee"/>
    <s v="7"/>
    <s v="ORCL IN OSSI"/>
    <s v="504826 - 1CV:GSC-Business Analytics - PaaS"/>
    <s v="009B"/>
    <s v="Y"/>
    <s v="Y"/>
    <s v="Unrecognized"/>
    <n v="4"/>
    <s v="AED"/>
    <n v="109.81"/>
    <n v="813.38"/>
    <n v="439.2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48811"/>
    <s v="3029637447970451"/>
    <s v="1.01.00"/>
    <s v="FP Labor -Billable Cost"/>
    <s v="Labor"/>
    <s v="CO-C"/>
    <d v="2026-04-07T00:00:00"/>
    <x v="1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32295"/>
    <s v="3029641115610431"/>
    <s v="1.01.00"/>
    <s v="FP Labor -Billable Cost"/>
    <s v="Labor"/>
    <s v="CO-C"/>
    <d v="2026-04-07T00:00:00"/>
    <x v="10"/>
    <x v="2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66517"/>
    <s v="1532624047:1"/>
    <s v="1.01.00"/>
    <s v="FP Labor -Billable Cost"/>
    <s v="Labor"/>
    <s v="CO-C"/>
    <d v="2026-04-07T00:00:00"/>
    <x v="10"/>
    <x v="3"/>
    <s v="Employee"/>
    <s v="7"/>
    <s v="ORCL IN OSSI"/>
    <s v="504826 - 1CV:GSC-Business Analytics - PaaS"/>
    <s v="009B"/>
    <s v="Y"/>
    <s v="Y"/>
    <s v="Unrecognized"/>
    <n v="4"/>
    <s v="AED"/>
    <n v="110.87"/>
    <n v="813.38"/>
    <n v="443.4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804553"/>
    <s v="3029641115610451"/>
    <s v="1.01.00"/>
    <s v="FP Labor -Billable Cost"/>
    <s v="Labor"/>
    <s v="CO-C"/>
    <d v="2026-04-08T00:00:00"/>
    <x v="10"/>
    <x v="2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810613"/>
    <s v="1532624050:1"/>
    <s v="1.01.00"/>
    <s v="FP Labor -Billable Cost"/>
    <s v="Labor"/>
    <s v="CO-C"/>
    <d v="2026-04-08T00:00:00"/>
    <x v="10"/>
    <x v="3"/>
    <s v="Employee"/>
    <s v="7"/>
    <s v="ORCL IN OSSI"/>
    <s v="504826 - 1CV:GSC-Business Analytics - PaaS"/>
    <s v="009B"/>
    <s v="Y"/>
    <s v="Y"/>
    <s v="Unrecognized"/>
    <n v="4"/>
    <s v="AED"/>
    <n v="110.94"/>
    <n v="813.38"/>
    <n v="443.7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880356"/>
    <s v="3029641115610471"/>
    <s v="1.01.00"/>
    <s v="FP Labor -Billable Cost"/>
    <s v="Labor"/>
    <s v="CO-C"/>
    <d v="2026-04-09T00:00:00"/>
    <x v="10"/>
    <x v="2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865425"/>
    <s v="1532624054:1"/>
    <s v="1.01.00"/>
    <s v="FP Labor -Billable Cost"/>
    <s v="Labor"/>
    <s v="CO-C"/>
    <d v="2026-04-09T00:00:00"/>
    <x v="10"/>
    <x v="3"/>
    <s v="Employee"/>
    <s v="7"/>
    <s v="ORCL IN OSSI"/>
    <s v="504826 - 1CV:GSC-Business Analytics - PaaS"/>
    <s v="009B"/>
    <s v="Y"/>
    <s v="Y"/>
    <s v="Unrecognized"/>
    <n v="4"/>
    <s v="AED"/>
    <n v="111.44"/>
    <n v="813.38"/>
    <n v="445.7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900452"/>
    <s v="1532624056:1"/>
    <s v="1.01.00"/>
    <s v="FP Labor -Billable Cost"/>
    <s v="Labor"/>
    <s v="CO-C"/>
    <d v="2026-04-10T00:00:00"/>
    <x v="10"/>
    <x v="3"/>
    <s v="Employee"/>
    <s v="7"/>
    <s v="ORCL IN OSSI"/>
    <s v="504826 - 1CV:GSC-Business Analytics - PaaS"/>
    <s v="009B"/>
    <s v="Y"/>
    <s v="Y"/>
    <s v="Unrecognized"/>
    <n v="4"/>
    <s v="AED"/>
    <n v="111.44"/>
    <n v="813.38"/>
    <n v="445.7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194015"/>
    <s v="3029637453864201"/>
    <s v="1.01.00"/>
    <s v="FP Labor -Billable Cost"/>
    <s v="Labor"/>
    <s v="CO-C"/>
    <d v="2026-04-13T00:00:00"/>
    <x v="1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191646"/>
    <s v="1532630136:1"/>
    <s v="1.01.00"/>
    <s v="FP Labor -Billable Cost"/>
    <s v="Labor"/>
    <s v="CO-C"/>
    <d v="2026-04-13T00:00:00"/>
    <x v="11"/>
    <x v="3"/>
    <s v="Employee"/>
    <s v="7"/>
    <s v="ORCL IN OSSI"/>
    <s v="504826 - 1CV:GSC-Business Analytics - PaaS"/>
    <s v="009B"/>
    <s v="Y"/>
    <s v="Y"/>
    <s v="Unrecognized"/>
    <n v="4"/>
    <s v="AED"/>
    <n v="111.26"/>
    <n v="813.38"/>
    <n v="445.03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252960"/>
    <s v="3029637453864221"/>
    <s v="1.01.00"/>
    <s v="FP Labor -Billable Cost"/>
    <s v="Labor"/>
    <s v="CO-C"/>
    <d v="2026-04-14T00:00:00"/>
    <x v="1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240318"/>
    <s v="3029641123644031"/>
    <s v="1.01.00"/>
    <s v="FP Labor -Billable Cost"/>
    <s v="Labor"/>
    <s v="CO-C"/>
    <d v="2026-04-14T00:00:00"/>
    <x v="11"/>
    <x v="2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258137"/>
    <s v="1532630139:1"/>
    <s v="1.01.00"/>
    <s v="FP Labor -Billable Cost"/>
    <s v="Labor"/>
    <s v="CO-C"/>
    <d v="2026-04-14T00:00:00"/>
    <x v="11"/>
    <x v="3"/>
    <s v="Employee"/>
    <s v="7"/>
    <s v="ORCL IN OSSI"/>
    <s v="504826 - 1CV:GSC-Business Analytics - PaaS"/>
    <s v="009B"/>
    <s v="Y"/>
    <s v="Y"/>
    <s v="Unrecognized"/>
    <n v="4"/>
    <s v="AED"/>
    <n v="110.48"/>
    <n v="813.38"/>
    <n v="441.93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310881"/>
    <s v="3029641123644051"/>
    <s v="1.01.00"/>
    <s v="FP Labor -Billable Cost"/>
    <s v="Labor"/>
    <s v="CO-C"/>
    <d v="2026-04-15T00:00:00"/>
    <x v="11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304621"/>
    <s v="1532630142:1"/>
    <s v="1.01.00"/>
    <s v="FP Labor -Billable Cost"/>
    <s v="Labor"/>
    <s v="CO-C"/>
    <d v="2026-04-15T00:00:00"/>
    <x v="11"/>
    <x v="3"/>
    <s v="Employee"/>
    <s v="7"/>
    <s v="ORCL IN OSSI"/>
    <s v="504826 - 1CV:GSC-Business Analytics - PaaS"/>
    <s v="009B"/>
    <s v="Y"/>
    <s v="Y"/>
    <s v="Unrecognized"/>
    <n v="4"/>
    <s v="AED"/>
    <n v="110.48"/>
    <n v="813.38"/>
    <n v="441.93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390712"/>
    <s v="3029641123644071"/>
    <s v="1.01.00"/>
    <s v="FP Labor -Billable Cost"/>
    <s v="Labor"/>
    <s v="CO-C"/>
    <d v="2026-04-16T00:00:00"/>
    <x v="11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403036"/>
    <s v="1532630146:1"/>
    <s v="1.01.00"/>
    <s v="FP Labor -Billable Cost"/>
    <s v="Labor"/>
    <s v="CO-C"/>
    <d v="2026-04-16T00:00:00"/>
    <x v="11"/>
    <x v="3"/>
    <s v="Employee"/>
    <s v="7"/>
    <s v="ORCL IN OSSI"/>
    <s v="504826 - 1CV:GSC-Business Analytics - PaaS"/>
    <s v="009B"/>
    <s v="Y"/>
    <s v="Y"/>
    <s v="Unrecognized"/>
    <n v="4"/>
    <s v="AED"/>
    <n v="110.49"/>
    <n v="813.38"/>
    <n v="441.9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498713"/>
    <s v="1532630148:1"/>
    <s v="1.01.00"/>
    <s v="FP Labor -Billable Cost"/>
    <s v="Labor"/>
    <s v="CO-C"/>
    <d v="2026-04-17T00:00:00"/>
    <x v="11"/>
    <x v="3"/>
    <s v="Employee"/>
    <s v="7"/>
    <s v="ORCL IN OSSI"/>
    <s v="504826 - 1CV:GSC-Business Analytics - PaaS"/>
    <s v="009B"/>
    <s v="Y"/>
    <s v="Y"/>
    <s v="Unrecognized"/>
    <n v="4"/>
    <s v="AED"/>
    <n v="110.7"/>
    <n v="813.38"/>
    <n v="442.8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718128"/>
    <s v="3029637449050551"/>
    <s v="1.01.00"/>
    <s v="FP Labor -Billable Cost"/>
    <s v="Labor"/>
    <s v="CO-C"/>
    <d v="2026-04-20T00:00:00"/>
    <x v="1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726860"/>
    <s v="1532630193:1"/>
    <s v="1.01.00"/>
    <s v="FP Labor -Billable Cost"/>
    <s v="Labor"/>
    <s v="CO-C"/>
    <d v="2026-04-20T00:00:00"/>
    <x v="12"/>
    <x v="3"/>
    <s v="Employee"/>
    <s v="7"/>
    <s v="ORCL IN OSSI"/>
    <s v="504826 - 1CV:GSC-Business Analytics - PaaS"/>
    <s v="009B"/>
    <s v="Y"/>
    <s v="Y"/>
    <s v="Unrecognized"/>
    <n v="4"/>
    <s v="AED"/>
    <n v="111.03"/>
    <n v="813.38"/>
    <n v="444.1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796076"/>
    <s v="3029637449050571"/>
    <s v="1.01.00"/>
    <s v="FP Labor -Billable Cost"/>
    <s v="Labor"/>
    <s v="CO-C"/>
    <d v="2026-04-21T00:00:00"/>
    <x v="1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757739"/>
    <s v="3029641123609951"/>
    <s v="1.01.00"/>
    <s v="FP Labor -Billable Cost"/>
    <s v="Labor"/>
    <s v="CO-C"/>
    <d v="2026-04-21T00:00:00"/>
    <x v="1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756993"/>
    <s v="1532630196:1"/>
    <s v="1.01.00"/>
    <s v="FP Labor -Billable Cost"/>
    <s v="Labor"/>
    <s v="CO-C"/>
    <d v="2026-04-21T00:00:00"/>
    <x v="12"/>
    <x v="3"/>
    <s v="Employee"/>
    <s v="7"/>
    <s v="ORCL IN OSSI"/>
    <s v="504826 - 1CV:GSC-Business Analytics - PaaS"/>
    <s v="009B"/>
    <s v="Y"/>
    <s v="Y"/>
    <s v="Unrecognized"/>
    <n v="4"/>
    <s v="AED"/>
    <n v="110.8"/>
    <n v="813.38"/>
    <n v="443.18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842784"/>
    <s v="3029641123609971"/>
    <s v="1.01.00"/>
    <s v="FP Labor -Billable Cost"/>
    <s v="Labor"/>
    <s v="CO-C"/>
    <d v="2026-04-22T00:00:00"/>
    <x v="1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813867"/>
    <s v="1532630199:1"/>
    <s v="1.01.00"/>
    <s v="FP Labor -Billable Cost"/>
    <s v="Labor"/>
    <s v="CO-C"/>
    <d v="2026-04-22T00:00:00"/>
    <x v="12"/>
    <x v="3"/>
    <s v="Employee"/>
    <s v="7"/>
    <s v="ORCL IN OSSI"/>
    <s v="504826 - 1CV:GSC-Business Analytics - PaaS"/>
    <s v="009B"/>
    <s v="Y"/>
    <s v="Y"/>
    <s v="Unrecognized"/>
    <n v="4"/>
    <s v="AED"/>
    <n v="110.8"/>
    <n v="813.38"/>
    <n v="443.18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900818"/>
    <s v="3029641123609991"/>
    <s v="1.01.00"/>
    <s v="FP Labor -Billable Cost"/>
    <s v="Labor"/>
    <s v="CO-C"/>
    <d v="2026-04-23T00:00:00"/>
    <x v="1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910433"/>
    <s v="1532630203:1"/>
    <s v="1.01.00"/>
    <s v="FP Labor -Billable Cost"/>
    <s v="Labor"/>
    <s v="CO-C"/>
    <d v="2026-04-23T00:00:00"/>
    <x v="12"/>
    <x v="3"/>
    <s v="Employee"/>
    <s v="7"/>
    <s v="ORCL IN OSSI"/>
    <s v="504826 - 1CV:GSC-Business Analytics - PaaS"/>
    <s v="009B"/>
    <s v="Y"/>
    <s v="Y"/>
    <s v="Unrecognized"/>
    <n v="4"/>
    <s v="AED"/>
    <n v="109.99"/>
    <n v="813.38"/>
    <n v="439.97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025479"/>
    <s v="1532630205:1"/>
    <s v="1.01.00"/>
    <s v="FP Labor -Billable Cost"/>
    <s v="Labor"/>
    <s v="CO-C"/>
    <d v="2026-04-24T00:00:00"/>
    <x v="12"/>
    <x v="3"/>
    <s v="Employee"/>
    <s v="7"/>
    <s v="ORCL IN OSSI"/>
    <s v="504826 - 1CV:GSC-Business Analytics - PaaS"/>
    <s v="009B"/>
    <s v="Y"/>
    <s v="Y"/>
    <s v="Unrecognized"/>
    <n v="4"/>
    <s v="AED"/>
    <n v="109.63"/>
    <n v="813.38"/>
    <n v="438.5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11398"/>
    <s v="3029637452983521"/>
    <s v="1.01.00"/>
    <s v="FP Labor -Billable Cost"/>
    <s v="Labor"/>
    <s v="CO-C"/>
    <d v="2026-04-27T00:00:00"/>
    <x v="1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3971"/>
    <s v="1532630254:3"/>
    <s v="1.01.00"/>
    <s v="FP Labor -Billable Cost"/>
    <s v="Labor"/>
    <s v="CO-C"/>
    <d v="2026-04-27T00:00:00"/>
    <x v="13"/>
    <x v="3"/>
    <s v="Employee"/>
    <s v="7"/>
    <s v="ORCL IN OSSI"/>
    <s v="504826 - 1CV:GSC-Business Analytics - PaaS"/>
    <s v="009B"/>
    <s v="Y"/>
    <s v="Y"/>
    <s v="Unrecognized"/>
    <n v="5"/>
    <s v="AED"/>
    <n v="109.46"/>
    <n v="813.38"/>
    <n v="547.2999999999999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11396"/>
    <s v="3029637452983541"/>
    <s v="1.01.00"/>
    <s v="FP Labor -Billable Cost"/>
    <s v="Labor"/>
    <s v="CO-C"/>
    <d v="2026-04-28T00:00:00"/>
    <x v="1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15369"/>
    <s v="3029641125637511"/>
    <s v="1.01.00"/>
    <s v="FP Labor -Billable Cost"/>
    <s v="Labor"/>
    <s v="CO-C"/>
    <d v="2026-04-28T00:00:00"/>
    <x v="1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3763"/>
    <s v="1532630257:3"/>
    <s v="1.01.00"/>
    <s v="FP Labor -Billable Cost"/>
    <s v="Labor"/>
    <s v="CO-C"/>
    <d v="2026-04-28T00:00:00"/>
    <x v="13"/>
    <x v="3"/>
    <s v="Employee"/>
    <s v="7"/>
    <s v="ORCL IN OSSI"/>
    <s v="504826 - 1CV:GSC-Business Analytics - PaaS"/>
    <s v="009B"/>
    <s v="Y"/>
    <s v="Y"/>
    <s v="Unrecognized"/>
    <n v="5"/>
    <s v="AED"/>
    <n v="109.53"/>
    <n v="813.38"/>
    <n v="547.6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15363"/>
    <s v="3029641125637531"/>
    <s v="1.01.00"/>
    <s v="FP Labor -Billable Cost"/>
    <s v="Labor"/>
    <s v="CO-C"/>
    <d v="2026-04-29T00:00:00"/>
    <x v="13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3917"/>
    <s v="1532630260:3"/>
    <s v="1.01.00"/>
    <s v="FP Labor -Billable Cost"/>
    <s v="Labor"/>
    <s v="CO-C"/>
    <d v="2026-04-29T00:00:00"/>
    <x v="13"/>
    <x v="3"/>
    <s v="Employee"/>
    <s v="7"/>
    <s v="ORCL IN OSSI"/>
    <s v="504826 - 1CV:GSC-Business Analytics - PaaS"/>
    <s v="009B"/>
    <s v="Y"/>
    <s v="Y"/>
    <s v="Unrecognized"/>
    <n v="5"/>
    <s v="AED"/>
    <n v="109.17"/>
    <n v="813.38"/>
    <n v="545.83000000000004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15368"/>
    <s v="3029641125637551"/>
    <s v="1.01.00"/>
    <s v="FP Labor -Billable Cost"/>
    <s v="Labor"/>
    <s v="CO-C"/>
    <d v="2026-04-30T00:00:00"/>
    <x v="13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5164"/>
    <s v="1532630264:3"/>
    <s v="1.01.00"/>
    <s v="FP Labor -Billable Cost"/>
    <s v="Labor"/>
    <s v="CO-C"/>
    <d v="2026-04-30T00:00:00"/>
    <x v="13"/>
    <x v="3"/>
    <s v="Employee"/>
    <s v="7"/>
    <s v="ORCL IN OSSI"/>
    <s v="504826 - 1CV:GSC-Business Analytics - PaaS"/>
    <s v="009B"/>
    <s v="Y"/>
    <s v="Y"/>
    <s v="Unrecognized"/>
    <n v="5"/>
    <s v="AED"/>
    <n v="109.17"/>
    <n v="813.38"/>
    <n v="545.83000000000004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230760"/>
    <s v="3029653723945661"/>
    <s v="1.01.00"/>
    <s v="FP Labor -Billable Cost"/>
    <s v="Labor"/>
    <s v="CO-C"/>
    <d v="2026-05-02T00:00:00"/>
    <x v="14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230759"/>
    <s v="3029653723945681"/>
    <s v="1.01.00"/>
    <s v="FP Labor -Billable Cost"/>
    <s v="Labor"/>
    <s v="CO-C"/>
    <d v="2026-05-03T00:00:00"/>
    <x v="14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3317"/>
    <s v="1532630420:4"/>
    <s v="1.01.00"/>
    <s v="FP Labor -Billable Cost"/>
    <s v="Labor"/>
    <s v="CO-C"/>
    <d v="2026-05-04T00:00:00"/>
    <x v="14"/>
    <x v="3"/>
    <s v="Employee"/>
    <s v="7"/>
    <s v="ORCL IN OSSI"/>
    <s v="504826 - 1CV:GSC-Business Analytics - PaaS"/>
    <s v="009B"/>
    <s v="Y"/>
    <s v="Y"/>
    <s v="Unrecognized"/>
    <n v="4"/>
    <s v="AED"/>
    <n v="109.17"/>
    <n v="813.38"/>
    <n v="436.67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6570"/>
    <s v="1532630423:4"/>
    <s v="1.01.00"/>
    <s v="FP Labor -Billable Cost"/>
    <s v="Labor"/>
    <s v="CO-C"/>
    <d v="2026-05-05T00:00:00"/>
    <x v="14"/>
    <x v="3"/>
    <s v="Employee"/>
    <s v="7"/>
    <s v="ORCL IN OSSI"/>
    <s v="504826 - 1CV:GSC-Business Analytics - PaaS"/>
    <s v="009B"/>
    <s v="Y"/>
    <s v="Y"/>
    <s v="Unrecognized"/>
    <n v="4"/>
    <s v="AED"/>
    <n v="109.17"/>
    <n v="813.38"/>
    <n v="436.67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5998"/>
    <s v="1532630426:4"/>
    <s v="1.01.00"/>
    <s v="FP Labor -Billable Cost"/>
    <s v="Labor"/>
    <s v="CO-C"/>
    <d v="2026-05-06T00:00:00"/>
    <x v="14"/>
    <x v="3"/>
    <s v="Employee"/>
    <s v="7"/>
    <s v="ORCL IN OSSI"/>
    <s v="504826 - 1CV:GSC-Business Analytics - PaaS"/>
    <s v="009B"/>
    <s v="Y"/>
    <s v="Y"/>
    <s v="Unrecognized"/>
    <n v="4"/>
    <s v="AED"/>
    <n v="109.17"/>
    <n v="813.38"/>
    <n v="436.67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9394"/>
    <s v="1532630430:4"/>
    <s v="1.01.00"/>
    <s v="FP Labor -Billable Cost"/>
    <s v="Labor"/>
    <s v="CO-C"/>
    <d v="2026-05-07T00:00:00"/>
    <x v="14"/>
    <x v="3"/>
    <s v="Employee"/>
    <s v="7"/>
    <s v="ORCL IN OSSI"/>
    <s v="504826 - 1CV:GSC-Business Analytics - PaaS"/>
    <s v="009B"/>
    <s v="Y"/>
    <s v="Y"/>
    <s v="Unrecognized"/>
    <n v="4"/>
    <s v="AED"/>
    <n v="109.17"/>
    <n v="813.38"/>
    <n v="436.67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6898"/>
    <s v="1532630433:4"/>
    <s v="1.01.00"/>
    <s v="FP Labor -Billable Cost"/>
    <s v="Labor"/>
    <s v="CO-C"/>
    <d v="2026-05-08T00:00:00"/>
    <x v="14"/>
    <x v="3"/>
    <s v="Employee"/>
    <s v="7"/>
    <s v="ORCL IN OSSI"/>
    <s v="504826 - 1CV:GSC-Business Analytics - PaaS"/>
    <s v="009B"/>
    <s v="Y"/>
    <s v="Y"/>
    <s v="Unrecognized"/>
    <n v="4"/>
    <s v="AED"/>
    <n v="109.17"/>
    <n v="813.38"/>
    <n v="436.67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746713"/>
    <s v="3029653725355522"/>
    <s v="1.01.00"/>
    <s v="FP Labor -Billable Cost"/>
    <s v="Labor"/>
    <s v="CO-C"/>
    <d v="2026-05-09T00:00:00"/>
    <x v="15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230692"/>
    <s v="3029653725355541"/>
    <s v="1.01.00"/>
    <s v="FP Labor -Billable Cost"/>
    <s v="Labor"/>
    <s v="CO-C"/>
    <d v="2026-05-10T00:00:00"/>
    <x v="15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2935"/>
    <s v="1532630564:3"/>
    <s v="1.01.00"/>
    <s v="FP Labor -Billable Cost"/>
    <s v="Labor"/>
    <s v="CO-C"/>
    <d v="2026-05-11T00:00:00"/>
    <x v="15"/>
    <x v="3"/>
    <s v="Employee"/>
    <s v="7"/>
    <s v="ORCL IN OSSI"/>
    <s v="504826 - 1CV:GSC-Business Analytics - PaaS"/>
    <s v="009B"/>
    <s v="Y"/>
    <s v="Y"/>
    <s v="Unrecognized"/>
    <n v="12"/>
    <s v="AED"/>
    <n v="109.17"/>
    <n v="813.38"/>
    <n v="1310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2460"/>
    <s v="1532630567:3"/>
    <s v="1.01.00"/>
    <s v="FP Labor -Billable Cost"/>
    <s v="Labor"/>
    <s v="CO-C"/>
    <d v="2026-05-12T00:00:00"/>
    <x v="15"/>
    <x v="3"/>
    <s v="Employee"/>
    <s v="7"/>
    <s v="ORCL IN OSSI"/>
    <s v="504826 - 1CV:GSC-Business Analytics - PaaS"/>
    <s v="009B"/>
    <s v="Y"/>
    <s v="Y"/>
    <s v="Unrecognized"/>
    <n v="12"/>
    <s v="AED"/>
    <n v="108.25"/>
    <n v="813.38"/>
    <n v="1298.96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5614"/>
    <s v="1532630570:3"/>
    <s v="1.01.00"/>
    <s v="FP Labor -Billable Cost"/>
    <s v="Labor"/>
    <s v="CO-C"/>
    <d v="2026-05-13T00:00:00"/>
    <x v="15"/>
    <x v="3"/>
    <s v="Employee"/>
    <s v="7"/>
    <s v="ORCL IN OSSI"/>
    <s v="504826 - 1CV:GSC-Business Analytics - PaaS"/>
    <s v="009B"/>
    <s v="Y"/>
    <s v="Y"/>
    <s v="Unrecognized"/>
    <n v="12"/>
    <s v="AED"/>
    <n v="107.89"/>
    <n v="813.38"/>
    <n v="1294.6300000000001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3653"/>
    <s v="1532630574:3"/>
    <s v="1.01.00"/>
    <s v="FP Labor -Billable Cost"/>
    <s v="Labor"/>
    <s v="CO-C"/>
    <d v="2026-05-14T00:00:00"/>
    <x v="15"/>
    <x v="3"/>
    <s v="Employee"/>
    <s v="7"/>
    <s v="ORCL IN OSSI"/>
    <s v="504826 - 1CV:GSC-Business Analytics - PaaS"/>
    <s v="009B"/>
    <s v="Y"/>
    <s v="Y"/>
    <s v="Unrecognized"/>
    <n v="12"/>
    <s v="AED"/>
    <n v="107.79"/>
    <n v="813.38"/>
    <n v="1293.52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535678"/>
    <s v="1532630577:3"/>
    <s v="1.01.00"/>
    <s v="FP Labor -Billable Cost"/>
    <s v="Labor"/>
    <s v="CO-C"/>
    <d v="2026-05-15T00:00:00"/>
    <x v="15"/>
    <x v="3"/>
    <s v="Employee"/>
    <s v="7"/>
    <s v="ORCL IN OSSI"/>
    <s v="504826 - 1CV:GSC-Business Analytics - PaaS"/>
    <s v="009B"/>
    <s v="Y"/>
    <s v="Y"/>
    <s v="Unrecognized"/>
    <n v="12"/>
    <s v="AED"/>
    <n v="107.73"/>
    <n v="813.38"/>
    <n v="1292.76"/>
    <n v="0"/>
    <n v="9760.530000000000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749269"/>
    <s v="3029662252496701"/>
    <s v="1.01.00"/>
    <s v="FP Labor -Billable Cost"/>
    <s v="Labor"/>
    <s v="CO-C"/>
    <d v="2026-06-01T00:00:00"/>
    <x v="16"/>
    <x v="15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93029"/>
    <s v="3029662254582231"/>
    <s v="1.01.00"/>
    <s v="FP Labor -Billable Cost"/>
    <s v="Labor"/>
    <s v="CO-C"/>
    <d v="2026-06-08T00:00:00"/>
    <x v="17"/>
    <x v="15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10842"/>
    <s v="3029666190549071"/>
    <s v="1.01.00"/>
    <s v="FP Labor -Billable Cost"/>
    <s v="Labor"/>
    <s v="CO-C"/>
    <d v="2026-06-17T00:00:00"/>
    <x v="18"/>
    <x v="15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988959"/>
    <s v="3029666185028701"/>
    <s v="1.01.00"/>
    <s v="FP Labor -Billable Cost"/>
    <s v="Labor"/>
    <s v="CO-C"/>
    <d v="2026-06-24T00:00:00"/>
    <x v="19"/>
    <x v="15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990165"/>
    <s v="3029668892696511"/>
    <s v="1.01.00"/>
    <s v="FP Labor -Billable Cost"/>
    <s v="Labor"/>
    <s v="CO-C"/>
    <d v="2026-07-01T00:00:00"/>
    <x v="20"/>
    <x v="15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090104"/>
    <s v="3029672211585411"/>
    <s v="1.01.00"/>
    <s v="FP Labor -Billable Cost"/>
    <s v="Labor"/>
    <s v="CO-C"/>
    <d v="2026-07-08T00:00:00"/>
    <x v="21"/>
    <x v="15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778"/>
    <s v="3029673833215401"/>
    <s v="1.01.00"/>
    <s v="FP Labor -Billable Cost"/>
    <s v="Labor"/>
    <s v="CO-C"/>
    <d v="2026-07-15T00:00:00"/>
    <x v="22"/>
    <x v="15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597027"/>
    <s v="3029675281060191"/>
    <s v="1.01.00"/>
    <s v="FP Labor -Billable Cost"/>
    <s v="Labor"/>
    <s v="CO-C"/>
    <d v="2026-07-23T00:00:00"/>
    <x v="23"/>
    <x v="15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126"/>
    <s v="3029632415921421"/>
    <s v="1.04.00"/>
    <s v="FP Labor - Remote Services Ctr"/>
    <s v="Labor"/>
    <s v="CO-C"/>
    <d v="2026-01-27T00:00:00"/>
    <x v="0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091"/>
    <s v="3029630261968702"/>
    <s v="1.04.00"/>
    <s v="FP Labor - Remote Services Ctr"/>
    <s v="Labor"/>
    <s v="CO-C"/>
    <d v="2026-01-27T00:00:00"/>
    <x v="0"/>
    <x v="17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705"/>
    <s v="3029618308971223"/>
    <s v="1.04.00"/>
    <s v="FP Labor - Remote Services Ctr"/>
    <s v="Labor"/>
    <s v="CO-C"/>
    <d v="2026-01-27T00:00:00"/>
    <x v="0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33"/>
    <s v="3029632345099521"/>
    <s v="1.04.00"/>
    <s v="FP Labor - Remote Services Ctr"/>
    <s v="Labor"/>
    <s v="CO-C"/>
    <d v="2026-01-27T00:00:00"/>
    <x v="0"/>
    <x v="9"/>
    <s v="Employee"/>
    <s v="7"/>
    <s v="ORCL EG"/>
    <s v="501646 - E6M-EMEA Tech Delivery - IaaS"/>
    <s v="008U"/>
    <s v="Y"/>
    <s v="Y"/>
    <s v="Unrecognized"/>
    <n v="8"/>
    <s v="AED"/>
    <n v="92.97"/>
    <n v="813.38"/>
    <n v="743.73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84"/>
    <s v="3029632415921441"/>
    <s v="1.04.00"/>
    <s v="FP Labor - Remote Services Ctr"/>
    <s v="Labor"/>
    <s v="CO-C"/>
    <d v="2026-01-28T00:00:00"/>
    <x v="0"/>
    <x v="16"/>
    <s v="Billable Contractor"/>
    <m/>
    <s v="ORCL EG"/>
    <s v="509485 - 73M: EMEA Business Analytics - PaaS"/>
    <s v="008U"/>
    <s v="Y"/>
    <s v="Y"/>
    <s v="Unrecognized"/>
    <n v="8"/>
    <s v="AED"/>
    <n v="68.86"/>
    <n v="754.44"/>
    <n v="550.88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089"/>
    <s v="3029630261968722"/>
    <s v="1.04.00"/>
    <s v="FP Labor - Remote Services Ctr"/>
    <s v="Labor"/>
    <s v="CO-C"/>
    <d v="2026-01-28T00:00:00"/>
    <x v="0"/>
    <x v="17"/>
    <s v="Billable Contractor"/>
    <m/>
    <s v="ORCL EG"/>
    <s v="502416 - 3WP-EMEA Delivery Middleware - IaaS"/>
    <s v="008U"/>
    <s v="Y"/>
    <s v="Y"/>
    <s v="Unrecognized"/>
    <n v="8"/>
    <s v="AED"/>
    <n v="68.86"/>
    <n v="754.44"/>
    <n v="550.88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702"/>
    <s v="3029618308971253"/>
    <s v="1.04.00"/>
    <s v="FP Labor - Remote Services Ctr"/>
    <s v="Labor"/>
    <s v="CO-C"/>
    <d v="2026-01-28T00:00:00"/>
    <x v="0"/>
    <x v="18"/>
    <s v="Billable Contractor"/>
    <m/>
    <s v="ORCL EG"/>
    <s v="509335 - U3K-EMEA Tech Delivery - PaaS"/>
    <s v="008U"/>
    <s v="Y"/>
    <s v="Y"/>
    <s v="Unrecognized"/>
    <n v="8"/>
    <s v="AED"/>
    <n v="68.86"/>
    <n v="754.44"/>
    <n v="550.88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158"/>
    <s v="3029632345099541"/>
    <s v="1.04.00"/>
    <s v="FP Labor - Remote Services Ctr"/>
    <s v="Labor"/>
    <s v="CO-C"/>
    <d v="2026-01-28T00:00:00"/>
    <x v="0"/>
    <x v="9"/>
    <s v="Employee"/>
    <s v="7"/>
    <s v="ORCL EG"/>
    <s v="501646 - E6M-EMEA Tech Delivery - IaaS"/>
    <s v="008U"/>
    <s v="Y"/>
    <s v="Y"/>
    <s v="Unrecognized"/>
    <n v="8"/>
    <s v="AED"/>
    <n v="93.18"/>
    <n v="813.38"/>
    <n v="745.47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56"/>
    <s v="3029632415921461"/>
    <s v="1.04.00"/>
    <s v="FP Labor - Remote Services Ctr"/>
    <s v="Labor"/>
    <s v="CO-C"/>
    <d v="2026-01-29T00:00:00"/>
    <x v="0"/>
    <x v="16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087"/>
    <s v="3029630261968742"/>
    <s v="1.04.00"/>
    <s v="FP Labor - Remote Services Ctr"/>
    <s v="Labor"/>
    <s v="CO-C"/>
    <d v="2026-01-29T00:00:00"/>
    <x v="0"/>
    <x v="17"/>
    <s v="Billable Contractor"/>
    <m/>
    <s v="ORCL EG"/>
    <s v="502416 - 3WP-EMEA Delivery Middleware - I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699"/>
    <s v="3029632855287301"/>
    <s v="1.04.00"/>
    <s v="FP Labor - Remote Services Ctr"/>
    <s v="Labor"/>
    <s v="CO-C"/>
    <d v="2026-01-29T00:00:00"/>
    <x v="0"/>
    <x v="18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55"/>
    <s v="3029632415921481"/>
    <s v="1.04.00"/>
    <s v="FP Labor - Remote Services Ctr"/>
    <s v="Labor"/>
    <s v="CO-C"/>
    <d v="2026-01-30T00:00:00"/>
    <x v="0"/>
    <x v="16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085"/>
    <s v="3029633067512521"/>
    <s v="1.04.00"/>
    <s v="FP Labor - Remote Services Ctr"/>
    <s v="Labor"/>
    <s v="CO-C"/>
    <d v="2026-01-30T00:00:00"/>
    <x v="0"/>
    <x v="17"/>
    <s v="Billable Contractor"/>
    <m/>
    <s v="ORCL EG"/>
    <s v="502416 - 3WP-EMEA Delivery Middleware - I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712"/>
    <s v="3029632855287321"/>
    <s v="1.04.00"/>
    <s v="FP Labor - Remote Services Ctr"/>
    <s v="Labor"/>
    <s v="CO-C"/>
    <d v="2026-01-30T00:00:00"/>
    <x v="0"/>
    <x v="18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04"/>
    <s v="3029633070094451"/>
    <s v="1.04.00"/>
    <s v="FP Labor - Remote Services Ctr"/>
    <s v="Labor"/>
    <s v="CO-C"/>
    <d v="2026-02-01T00:00:00"/>
    <x v="1"/>
    <x v="17"/>
    <s v="Billable Contractor"/>
    <m/>
    <s v="ORCL EG"/>
    <s v="502416 - 3WP-EMEA Delivery Middleware - I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280"/>
    <s v="3029632855921611"/>
    <s v="1.04.00"/>
    <s v="FP Labor - Remote Services Ctr"/>
    <s v="Labor"/>
    <s v="CO-C"/>
    <d v="2026-02-01T00:00:00"/>
    <x v="1"/>
    <x v="18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098"/>
    <s v="3029627463405462"/>
    <s v="1.04.00"/>
    <s v="FP Labor - Remote Services Ctr"/>
    <s v="Labor"/>
    <s v="CO-C"/>
    <d v="2026-02-01T00:00:00"/>
    <x v="1"/>
    <x v="19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21"/>
    <s v="3029632417428431"/>
    <s v="1.04.00"/>
    <s v="FP Labor - Remote Services Ctr"/>
    <s v="Labor"/>
    <s v="CO-C"/>
    <d v="2026-02-02T00:00:00"/>
    <x v="1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3106"/>
    <s v="1526210699:2"/>
    <s v="1.04.00"/>
    <s v="FP Labor - Remote Services Ctr"/>
    <s v="Labor"/>
    <s v="CO-C"/>
    <d v="2026-02-02T00:00:00"/>
    <x v="1"/>
    <x v="20"/>
    <s v="Employee"/>
    <s v="6"/>
    <s v="ORCL IN OSSI"/>
    <s v="504826 - 1CV:GSC-Business Analytics - PaaS"/>
    <s v="09B3"/>
    <s v="Y"/>
    <s v="Y"/>
    <s v="Unrecognized"/>
    <n v="4"/>
    <s v="AED"/>
    <n v="112.53"/>
    <n v="754.44"/>
    <n v="450.1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03"/>
    <s v="3029633070094471"/>
    <s v="1.04.00"/>
    <s v="FP Labor - Remote Services Ctr"/>
    <s v="Labor"/>
    <s v="CO-C"/>
    <d v="2026-02-02T00:00:00"/>
    <x v="1"/>
    <x v="17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287"/>
    <s v="3029632855921631"/>
    <s v="1.04.00"/>
    <s v="FP Labor - Remote Services Ctr"/>
    <s v="Labor"/>
    <s v="CO-C"/>
    <d v="2026-02-02T00:00:00"/>
    <x v="1"/>
    <x v="18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096"/>
    <s v="3029627463405482"/>
    <s v="1.04.00"/>
    <s v="FP Labor - Remote Services Ctr"/>
    <s v="Labor"/>
    <s v="CO-C"/>
    <d v="2026-02-02T00:00:00"/>
    <x v="1"/>
    <x v="19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78"/>
    <s v="3029627140523972"/>
    <s v="1.04.00"/>
    <s v="FP Labor - Remote Services Ctr"/>
    <s v="Labor"/>
    <s v="CO-C"/>
    <d v="2026-02-02T00:00:00"/>
    <x v="1"/>
    <x v="9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19"/>
    <s v="3029632417428451"/>
    <s v="1.04.00"/>
    <s v="FP Labor - Remote Services Ctr"/>
    <s v="Labor"/>
    <s v="CO-C"/>
    <d v="2026-02-03T00:00:00"/>
    <x v="1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744"/>
    <s v="1526210698:2"/>
    <s v="1.04.00"/>
    <s v="FP Labor - Remote Services Ctr"/>
    <s v="Labor"/>
    <s v="CO-C"/>
    <d v="2026-02-03T00:00:00"/>
    <x v="1"/>
    <x v="20"/>
    <s v="Employee"/>
    <s v="6"/>
    <s v="ORCL IN OSSI"/>
    <s v="504826 - 1CV:GSC-Business Analytics - PaaS"/>
    <s v="09B3"/>
    <s v="Y"/>
    <s v="Y"/>
    <s v="Unrecognized"/>
    <n v="4"/>
    <s v="AED"/>
    <n v="112.53"/>
    <n v="754.44"/>
    <n v="450.1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02"/>
    <s v="3029633070094491"/>
    <s v="1.04.00"/>
    <s v="FP Labor - Remote Services Ctr"/>
    <s v="Labor"/>
    <s v="CO-C"/>
    <d v="2026-02-03T00:00:00"/>
    <x v="1"/>
    <x v="17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285"/>
    <s v="3029632855921651"/>
    <s v="1.04.00"/>
    <s v="FP Labor - Remote Services Ctr"/>
    <s v="Labor"/>
    <s v="CO-C"/>
    <d v="2026-02-03T00:00:00"/>
    <x v="1"/>
    <x v="18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094"/>
    <s v="3029627463405502"/>
    <s v="1.04.00"/>
    <s v="FP Labor - Remote Services Ctr"/>
    <s v="Labor"/>
    <s v="CO-C"/>
    <d v="2026-02-03T00:00:00"/>
    <x v="1"/>
    <x v="19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68"/>
    <s v="3029632346956601"/>
    <s v="1.04.00"/>
    <s v="FP Labor - Remote Services Ctr"/>
    <s v="Labor"/>
    <s v="CO-C"/>
    <d v="2026-02-03T00:00:00"/>
    <x v="1"/>
    <x v="9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17"/>
    <s v="3029632417428471"/>
    <s v="1.04.00"/>
    <s v="FP Labor - Remote Services Ctr"/>
    <s v="Labor"/>
    <s v="CO-C"/>
    <d v="2026-02-04T00:00:00"/>
    <x v="1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689"/>
    <s v="1526210697:2"/>
    <s v="1.04.00"/>
    <s v="FP Labor - Remote Services Ctr"/>
    <s v="Labor"/>
    <s v="CO-C"/>
    <d v="2026-02-04T00:00:00"/>
    <x v="1"/>
    <x v="20"/>
    <s v="Employee"/>
    <s v="6"/>
    <s v="ORCL IN OSSI"/>
    <s v="504826 - 1CV:GSC-Business Analytics - PaaS"/>
    <s v="09B3"/>
    <s v="Y"/>
    <s v="Y"/>
    <s v="Unrecognized"/>
    <n v="4"/>
    <s v="AED"/>
    <n v="112.53"/>
    <n v="754.44"/>
    <n v="450.1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01"/>
    <s v="3029633070094511"/>
    <s v="1.04.00"/>
    <s v="FP Labor - Remote Services Ctr"/>
    <s v="Labor"/>
    <s v="CO-C"/>
    <d v="2026-02-04T00:00:00"/>
    <x v="1"/>
    <x v="17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282"/>
    <s v="3029632855921671"/>
    <s v="1.04.00"/>
    <s v="FP Labor - Remote Services Ctr"/>
    <s v="Labor"/>
    <s v="CO-C"/>
    <d v="2026-02-04T00:00:00"/>
    <x v="1"/>
    <x v="18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092"/>
    <s v="3029627463405522"/>
    <s v="1.04.00"/>
    <s v="FP Labor - Remote Services Ctr"/>
    <s v="Labor"/>
    <s v="CO-C"/>
    <d v="2026-02-04T00:00:00"/>
    <x v="1"/>
    <x v="19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67"/>
    <s v="3029627140524012"/>
    <s v="1.04.00"/>
    <s v="FP Labor - Remote Services Ctr"/>
    <s v="Labor"/>
    <s v="CO-C"/>
    <d v="2026-02-04T00:00:00"/>
    <x v="1"/>
    <x v="9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15"/>
    <s v="3029632417428491"/>
    <s v="1.04.00"/>
    <s v="FP Labor - Remote Services Ctr"/>
    <s v="Labor"/>
    <s v="CO-C"/>
    <d v="2026-02-05T00:00:00"/>
    <x v="1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922"/>
    <s v="1526210696:2"/>
    <s v="1.04.00"/>
    <s v="FP Labor - Remote Services Ctr"/>
    <s v="Labor"/>
    <s v="CO-C"/>
    <d v="2026-02-05T00:00:00"/>
    <x v="1"/>
    <x v="20"/>
    <s v="Employee"/>
    <s v="6"/>
    <s v="ORCL IN OSSI"/>
    <s v="504826 - 1CV:GSC-Business Analytics - PaaS"/>
    <s v="09B3"/>
    <s v="Y"/>
    <s v="Y"/>
    <s v="Unrecognized"/>
    <n v="4"/>
    <s v="AED"/>
    <n v="112.53"/>
    <n v="754.44"/>
    <n v="450.1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10"/>
    <s v="3029633070094531"/>
    <s v="1.04.00"/>
    <s v="FP Labor - Remote Services Ctr"/>
    <s v="Labor"/>
    <s v="CO-C"/>
    <d v="2026-02-05T00:00:00"/>
    <x v="1"/>
    <x v="17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290"/>
    <s v="3029632855921691"/>
    <s v="1.04.00"/>
    <s v="FP Labor - Remote Services Ctr"/>
    <s v="Labor"/>
    <s v="CO-C"/>
    <d v="2026-02-05T00:00:00"/>
    <x v="1"/>
    <x v="18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089"/>
    <s v="3029627463405542"/>
    <s v="1.04.00"/>
    <s v="FP Labor - Remote Services Ctr"/>
    <s v="Labor"/>
    <s v="CO-C"/>
    <d v="2026-02-05T00:00:00"/>
    <x v="1"/>
    <x v="19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264"/>
    <s v="3029632346956641"/>
    <s v="1.04.00"/>
    <s v="FP Labor - Remote Services Ctr"/>
    <s v="Labor"/>
    <s v="CO-C"/>
    <d v="2026-02-05T00:00:00"/>
    <x v="1"/>
    <x v="9"/>
    <s v="Employee"/>
    <s v="7"/>
    <s v="ORCL EG"/>
    <s v="501646 - E6M-EMEA Tech Delivery - IaaS"/>
    <s v="008U"/>
    <s v="Y"/>
    <s v="Y"/>
    <s v="Unrecognized"/>
    <n v="8"/>
    <s v="AED"/>
    <n v="93.54"/>
    <n v="813.38"/>
    <n v="748.28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13"/>
    <s v="3029632417428511"/>
    <s v="1.04.00"/>
    <s v="FP Labor - Remote Services Ctr"/>
    <s v="Labor"/>
    <s v="CO-C"/>
    <d v="2026-02-06T00:00:00"/>
    <x v="1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946"/>
    <s v="1526210695:2"/>
    <s v="1.04.00"/>
    <s v="FP Labor - Remote Services Ctr"/>
    <s v="Labor"/>
    <s v="CO-C"/>
    <d v="2026-02-06T00:00:00"/>
    <x v="1"/>
    <x v="20"/>
    <s v="Employee"/>
    <s v="6"/>
    <s v="ORCL IN OSSI"/>
    <s v="504826 - 1CV:GSC-Business Analytics - PaaS"/>
    <s v="09B3"/>
    <s v="Y"/>
    <s v="Y"/>
    <s v="Unrecognized"/>
    <n v="4"/>
    <s v="AED"/>
    <n v="112.53"/>
    <n v="754.44"/>
    <n v="450.1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318"/>
    <s v="3029632855917151"/>
    <s v="1.04.00"/>
    <s v="FP Labor - Remote Services Ctr"/>
    <s v="Labor"/>
    <s v="CO-C"/>
    <d v="2026-02-08T00:00:00"/>
    <x v="2"/>
    <x v="18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145"/>
    <s v="3029632417417441"/>
    <s v="1.04.00"/>
    <s v="FP Labor - Remote Services Ctr"/>
    <s v="Labor"/>
    <s v="CO-C"/>
    <d v="2026-02-09T00:00:00"/>
    <x v="2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740"/>
    <s v="1527868248:1"/>
    <s v="1.04.00"/>
    <s v="FP Labor - Remote Services Ctr"/>
    <s v="Labor"/>
    <s v="CO-C"/>
    <d v="2026-02-09T00:00:00"/>
    <x v="2"/>
    <x v="20"/>
    <s v="Employee"/>
    <s v="6"/>
    <s v="ORCL IN OSSI"/>
    <s v="504826 - 1CV:GSC-Business Analytics - PaaS"/>
    <s v="09B3"/>
    <s v="Y"/>
    <s v="Y"/>
    <s v="Unrecognized"/>
    <n v="4"/>
    <s v="AED"/>
    <n v="112.53"/>
    <n v="754.44"/>
    <n v="450.1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429335"/>
    <s v="3029632855917171"/>
    <s v="1.04.00"/>
    <s v="FP Labor - Remote Services Ctr"/>
    <s v="Labor"/>
    <s v="CO-C"/>
    <d v="2026-02-09T00:00:00"/>
    <x v="2"/>
    <x v="18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97"/>
    <s v="3029632417417461"/>
    <s v="1.04.00"/>
    <s v="FP Labor - Remote Services Ctr"/>
    <s v="Labor"/>
    <s v="CO-C"/>
    <d v="2026-02-10T00:00:00"/>
    <x v="2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1450"/>
    <s v="1527868247:1"/>
    <s v="1.04.00"/>
    <s v="FP Labor - Remote Services Ctr"/>
    <s v="Labor"/>
    <s v="CO-C"/>
    <d v="2026-02-10T00:00:00"/>
    <x v="2"/>
    <x v="20"/>
    <s v="Employee"/>
    <s v="6"/>
    <s v="ORCL IN OSSI"/>
    <s v="504826 - 1CV:GSC-Business Analytics - PaaS"/>
    <s v="09B3"/>
    <s v="Y"/>
    <s v="Y"/>
    <s v="Unrecognized"/>
    <n v="4"/>
    <s v="AED"/>
    <n v="112.53"/>
    <n v="754.44"/>
    <n v="450.1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75"/>
    <s v="3029633067818281"/>
    <s v="1.04.00"/>
    <s v="FP Labor - Remote Services Ctr"/>
    <s v="Labor"/>
    <s v="CO-C"/>
    <d v="2026-02-10T00:00:00"/>
    <x v="2"/>
    <x v="17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690"/>
    <s v="3029632855917191"/>
    <s v="1.04.00"/>
    <s v="FP Labor - Remote Services Ctr"/>
    <s v="Labor"/>
    <s v="CO-C"/>
    <d v="2026-02-10T00:00:00"/>
    <x v="2"/>
    <x v="18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95"/>
    <s v="3029632417417481"/>
    <s v="1.04.00"/>
    <s v="FP Labor - Remote Services Ctr"/>
    <s v="Labor"/>
    <s v="CO-C"/>
    <d v="2026-02-11T00:00:00"/>
    <x v="2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3176"/>
    <s v="1527868246:1"/>
    <s v="1.04.00"/>
    <s v="FP Labor - Remote Services Ctr"/>
    <s v="Labor"/>
    <s v="CO-C"/>
    <d v="2026-02-11T00:00:00"/>
    <x v="2"/>
    <x v="20"/>
    <s v="Employee"/>
    <s v="6"/>
    <s v="ORCL IN OSSI"/>
    <s v="504826 - 1CV:GSC-Business Analytics - PaaS"/>
    <s v="09B3"/>
    <s v="Y"/>
    <s v="Y"/>
    <s v="Unrecognized"/>
    <n v="4"/>
    <s v="AED"/>
    <n v="113.9"/>
    <n v="754.44"/>
    <n v="455.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74"/>
    <s v="3029633067818301"/>
    <s v="1.04.00"/>
    <s v="FP Labor - Remote Services Ctr"/>
    <s v="Labor"/>
    <s v="CO-C"/>
    <d v="2026-02-11T00:00:00"/>
    <x v="2"/>
    <x v="17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687"/>
    <s v="3029632855917211"/>
    <s v="1.04.00"/>
    <s v="FP Labor - Remote Services Ctr"/>
    <s v="Labor"/>
    <s v="CO-C"/>
    <d v="2026-02-11T00:00:00"/>
    <x v="2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93"/>
    <s v="3029632417417501"/>
    <s v="1.04.00"/>
    <s v="FP Labor - Remote Services Ctr"/>
    <s v="Labor"/>
    <s v="CO-C"/>
    <d v="2026-02-12T00:00:00"/>
    <x v="2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470"/>
    <s v="1527868245:1"/>
    <s v="1.04.00"/>
    <s v="FP Labor - Remote Services Ctr"/>
    <s v="Labor"/>
    <s v="CO-C"/>
    <d v="2026-02-12T00:00:00"/>
    <x v="2"/>
    <x v="20"/>
    <s v="Employee"/>
    <s v="6"/>
    <s v="ORCL IN OSSI"/>
    <s v="504826 - 1CV:GSC-Business Analytics - PaaS"/>
    <s v="09B3"/>
    <s v="Y"/>
    <s v="Y"/>
    <s v="Unrecognized"/>
    <n v="4"/>
    <s v="AED"/>
    <n v="113.75"/>
    <n v="754.44"/>
    <n v="454.9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73"/>
    <s v="3029633067818321"/>
    <s v="1.04.00"/>
    <s v="FP Labor - Remote Services Ctr"/>
    <s v="Labor"/>
    <s v="CO-C"/>
    <d v="2026-02-12T00:00:00"/>
    <x v="2"/>
    <x v="17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685"/>
    <s v="3029632855917231"/>
    <s v="1.04.00"/>
    <s v="FP Labor - Remote Services Ctr"/>
    <s v="Labor"/>
    <s v="CO-C"/>
    <d v="2026-02-12T00:00:00"/>
    <x v="2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392"/>
    <s v="3029632417417521"/>
    <s v="1.04.00"/>
    <s v="FP Labor - Remote Services Ctr"/>
    <s v="Labor"/>
    <s v="CO-C"/>
    <d v="2026-02-13T00:00:00"/>
    <x v="2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3177"/>
    <s v="1527868244:1"/>
    <s v="1.04.00"/>
    <s v="FP Labor - Remote Services Ctr"/>
    <s v="Labor"/>
    <s v="CO-C"/>
    <d v="2026-02-13T00:00:00"/>
    <x v="2"/>
    <x v="20"/>
    <s v="Employee"/>
    <s v="6"/>
    <s v="ORCL IN OSSI"/>
    <s v="504826 - 1CV:GSC-Business Analytics - PaaS"/>
    <s v="09B3"/>
    <s v="Y"/>
    <s v="Y"/>
    <s v="Unrecognized"/>
    <n v="4"/>
    <s v="AED"/>
    <n v="113.88"/>
    <n v="754.44"/>
    <n v="455.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989"/>
    <s v="3029627192998092"/>
    <s v="1.04.00"/>
    <s v="FP Labor - Remote Services Ctr"/>
    <s v="Labor"/>
    <s v="CO-C"/>
    <d v="2026-02-15T00:00:00"/>
    <x v="3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504"/>
    <s v="3029632416838691"/>
    <s v="1.04.00"/>
    <s v="FP Labor - Remote Services Ctr"/>
    <s v="Labor"/>
    <s v="CO-C"/>
    <d v="2026-02-16T00:00:00"/>
    <x v="3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824"/>
    <s v="1527868279:1"/>
    <s v="1.04.00"/>
    <s v="FP Labor - Remote Services Ctr"/>
    <s v="Labor"/>
    <s v="CO-C"/>
    <d v="2026-02-16T00:00:00"/>
    <x v="3"/>
    <x v="20"/>
    <s v="Employee"/>
    <s v="6"/>
    <s v="ORCL IN OSSI"/>
    <s v="504826 - 1CV:GSC-Business Analytics - PaaS"/>
    <s v="09B3"/>
    <s v="Y"/>
    <s v="Y"/>
    <s v="Unrecognized"/>
    <n v="4"/>
    <s v="AED"/>
    <n v="113.88"/>
    <n v="754.44"/>
    <n v="455.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987"/>
    <s v="3029627192998112"/>
    <s v="1.04.00"/>
    <s v="FP Labor - Remote Services Ctr"/>
    <s v="Labor"/>
    <s v="CO-C"/>
    <d v="2026-02-16T00:00:00"/>
    <x v="3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503"/>
    <s v="3029632416838711"/>
    <s v="1.04.00"/>
    <s v="FP Labor - Remote Services Ctr"/>
    <s v="Labor"/>
    <s v="CO-C"/>
    <d v="2026-02-17T00:00:00"/>
    <x v="3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192957"/>
    <s v="1527868278:1"/>
    <s v="1.04.00"/>
    <s v="FP Labor - Remote Services Ctr"/>
    <s v="Labor"/>
    <s v="CO-C"/>
    <d v="2026-02-17T00:00:00"/>
    <x v="3"/>
    <x v="20"/>
    <s v="Employee"/>
    <s v="6"/>
    <s v="ORCL IN OSSI"/>
    <s v="504826 - 1CV:GSC-Business Analytics - PaaS"/>
    <s v="09B3"/>
    <s v="Y"/>
    <s v="Y"/>
    <s v="Unrecognized"/>
    <n v="4"/>
    <s v="AED"/>
    <n v="113.88"/>
    <n v="754.44"/>
    <n v="455.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50"/>
    <s v="3029633067191351"/>
    <s v="1.04.00"/>
    <s v="FP Labor - Remote Services Ctr"/>
    <s v="Labor"/>
    <s v="CO-C"/>
    <d v="2026-02-17T00:00:00"/>
    <x v="3"/>
    <x v="17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8985"/>
    <s v="3029627192998132"/>
    <s v="1.04.00"/>
    <s v="FP Labor - Remote Services Ctr"/>
    <s v="Labor"/>
    <s v="CO-C"/>
    <d v="2026-02-17T00:00:00"/>
    <x v="3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502"/>
    <s v="3029632416838731"/>
    <s v="1.04.00"/>
    <s v="FP Labor - Remote Services Ctr"/>
    <s v="Labor"/>
    <s v="CO-C"/>
    <d v="2026-02-18T00:00:00"/>
    <x v="3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00806"/>
    <s v="1527868277:1"/>
    <s v="1.04.00"/>
    <s v="FP Labor - Remote Services Ctr"/>
    <s v="Labor"/>
    <s v="CO-C"/>
    <d v="2026-02-18T00:00:00"/>
    <x v="3"/>
    <x v="20"/>
    <s v="Employee"/>
    <s v="6"/>
    <s v="ORCL IN OSSI"/>
    <s v="504826 - 1CV:GSC-Business Analytics - PaaS"/>
    <s v="09B3"/>
    <s v="Y"/>
    <s v="Y"/>
    <s v="Unrecognized"/>
    <n v="4"/>
    <s v="AED"/>
    <n v="113.77"/>
    <n v="754.44"/>
    <n v="455.0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49"/>
    <s v="3029633067191371"/>
    <s v="1.04.00"/>
    <s v="FP Labor - Remote Services Ctr"/>
    <s v="Labor"/>
    <s v="CO-C"/>
    <d v="2026-02-18T00:00:00"/>
    <x v="3"/>
    <x v="17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125"/>
    <s v="3029627192998153"/>
    <s v="1.04.00"/>
    <s v="FP Labor - Remote Services Ctr"/>
    <s v="Labor"/>
    <s v="CO-C"/>
    <d v="2026-02-18T00:00:00"/>
    <x v="3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501"/>
    <s v="3029632416838751"/>
    <s v="1.04.00"/>
    <s v="FP Labor - Remote Services Ctr"/>
    <s v="Labor"/>
    <s v="CO-C"/>
    <d v="2026-02-19T00:00:00"/>
    <x v="3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228203"/>
    <s v="1527868276:1"/>
    <s v="1.04.00"/>
    <s v="FP Labor - Remote Services Ctr"/>
    <s v="Labor"/>
    <s v="CO-C"/>
    <d v="2026-02-19T00:00:00"/>
    <x v="3"/>
    <x v="20"/>
    <s v="Employee"/>
    <s v="6"/>
    <s v="ORCL IN OSSI"/>
    <s v="504826 - 1CV:GSC-Business Analytics - PaaS"/>
    <s v="09B3"/>
    <s v="Y"/>
    <s v="Y"/>
    <s v="Unrecognized"/>
    <n v="4"/>
    <s v="AED"/>
    <n v="113.78"/>
    <n v="754.44"/>
    <n v="455.1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048"/>
    <s v="3029633067191391"/>
    <s v="1.04.00"/>
    <s v="FP Labor - Remote Services Ctr"/>
    <s v="Labor"/>
    <s v="CO-C"/>
    <d v="2026-02-19T00:00:00"/>
    <x v="3"/>
    <x v="17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122"/>
    <s v="3029627192998182"/>
    <s v="1.04.00"/>
    <s v="FP Labor - Remote Services Ctr"/>
    <s v="Labor"/>
    <s v="CO-C"/>
    <d v="2026-02-19T00:00:00"/>
    <x v="3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63500"/>
    <s v="3029632416838771"/>
    <s v="1.04.00"/>
    <s v="FP Labor - Remote Services Ctr"/>
    <s v="Labor"/>
    <s v="CO-C"/>
    <d v="2026-02-20T00:00:00"/>
    <x v="3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22254"/>
    <s v="1527868275:1"/>
    <s v="1.04.00"/>
    <s v="FP Labor - Remote Services Ctr"/>
    <s v="Labor"/>
    <s v="CO-C"/>
    <d v="2026-02-20T00:00:00"/>
    <x v="3"/>
    <x v="20"/>
    <s v="Employee"/>
    <s v="6"/>
    <s v="ORCL IN OSSI"/>
    <s v="504826 - 1CV:GSC-Business Analytics - PaaS"/>
    <s v="09B3"/>
    <s v="Y"/>
    <s v="Y"/>
    <s v="Unrecognized"/>
    <n v="4"/>
    <s v="AED"/>
    <n v="113.78"/>
    <n v="754.44"/>
    <n v="455.1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116"/>
    <s v="3029632855292631"/>
    <s v="1.04.00"/>
    <s v="FP Labor - Remote Services Ctr"/>
    <s v="Labor"/>
    <s v="CO-C"/>
    <d v="2026-02-22T00:00:00"/>
    <x v="4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39027"/>
    <s v="3029631089342422"/>
    <s v="1.04.00"/>
    <s v="FP Labor - Remote Services Ctr"/>
    <s v="Labor"/>
    <s v="CO-C"/>
    <d v="2026-02-22T00:00:00"/>
    <x v="4"/>
    <x v="19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168"/>
    <s v="3029632418166991"/>
    <s v="1.04.00"/>
    <s v="FP Labor - Remote Services Ctr"/>
    <s v="Labor"/>
    <s v="CO-C"/>
    <d v="2026-02-23T00:00:00"/>
    <x v="4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559536"/>
    <s v="1527868294:1"/>
    <s v="1.04.00"/>
    <s v="FP Labor - Remote Services Ctr"/>
    <s v="Labor"/>
    <s v="CO-C"/>
    <d v="2026-02-23T00:00:00"/>
    <x v="4"/>
    <x v="20"/>
    <s v="Employee"/>
    <s v="6"/>
    <s v="ORCL IN OSSI"/>
    <s v="504826 - 1CV:GSC-Business Analytics - PaaS"/>
    <s v="09B3"/>
    <s v="Y"/>
    <s v="Y"/>
    <s v="Unrecognized"/>
    <n v="4"/>
    <s v="AED"/>
    <n v="113.39"/>
    <n v="754.44"/>
    <n v="453.5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300"/>
    <s v="3029632855292651"/>
    <s v="1.04.00"/>
    <s v="FP Labor - Remote Services Ctr"/>
    <s v="Labor"/>
    <s v="CO-C"/>
    <d v="2026-02-23T00:00:00"/>
    <x v="4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374133"/>
    <s v="3029631089342442"/>
    <s v="1.04.00"/>
    <s v="FP Labor - Remote Services Ctr"/>
    <s v="Labor"/>
    <s v="CO-C"/>
    <d v="2026-02-23T00:00:00"/>
    <x v="4"/>
    <x v="19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122"/>
    <s v="3029632418167011"/>
    <s v="1.04.00"/>
    <s v="FP Labor - Remote Services Ctr"/>
    <s v="Labor"/>
    <s v="CO-C"/>
    <d v="2026-02-24T00:00:00"/>
    <x v="4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51513"/>
    <s v="1527868296:1"/>
    <s v="1.04.00"/>
    <s v="FP Labor - Remote Services Ctr"/>
    <s v="Labor"/>
    <s v="CO-C"/>
    <d v="2026-02-24T00:00:00"/>
    <x v="4"/>
    <x v="20"/>
    <s v="Employee"/>
    <s v="6"/>
    <s v="ORCL IN OSSI"/>
    <s v="504826 - 1CV:GSC-Business Analytics - PaaS"/>
    <s v="09B3"/>
    <s v="Y"/>
    <s v="Y"/>
    <s v="Unrecognized"/>
    <n v="4"/>
    <s v="AED"/>
    <n v="113.52"/>
    <n v="754.44"/>
    <n v="454.09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91"/>
    <s v="3029633070097321"/>
    <s v="1.04.00"/>
    <s v="FP Labor - Remote Services Ctr"/>
    <s v="Labor"/>
    <s v="CO-C"/>
    <d v="2026-02-24T00:00:00"/>
    <x v="4"/>
    <x v="17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202"/>
    <s v="3029632855292671"/>
    <s v="1.04.00"/>
    <s v="FP Labor - Remote Services Ctr"/>
    <s v="Labor"/>
    <s v="CO-C"/>
    <d v="2026-02-24T00:00:00"/>
    <x v="4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32097"/>
    <s v="3029631089342462"/>
    <s v="1.04.00"/>
    <s v="FP Labor - Remote Services Ctr"/>
    <s v="Labor"/>
    <s v="CO-C"/>
    <d v="2026-02-24T00:00:00"/>
    <x v="4"/>
    <x v="19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90039"/>
    <s v="3029632418167031"/>
    <s v="1.04.00"/>
    <s v="FP Labor - Remote Services Ctr"/>
    <s v="Labor"/>
    <s v="CO-C"/>
    <d v="2026-02-25T00:00:00"/>
    <x v="4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06610"/>
    <s v="1527868298:1"/>
    <s v="1.04.00"/>
    <s v="FP Labor - Remote Services Ctr"/>
    <s v="Labor"/>
    <s v="CO-C"/>
    <d v="2026-02-25T00:00:00"/>
    <x v="4"/>
    <x v="20"/>
    <s v="Employee"/>
    <s v="6"/>
    <s v="ORCL IN OSSI"/>
    <s v="504826 - 1CV:GSC-Business Analytics - PaaS"/>
    <s v="09B3"/>
    <s v="Y"/>
    <s v="Y"/>
    <s v="Unrecognized"/>
    <n v="4"/>
    <s v="AED"/>
    <n v="113.52"/>
    <n v="754.44"/>
    <n v="454.09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90029"/>
    <s v="3029633070097341"/>
    <s v="1.04.00"/>
    <s v="FP Labor - Remote Services Ctr"/>
    <s v="Labor"/>
    <s v="CO-C"/>
    <d v="2026-02-25T00:00:00"/>
    <x v="4"/>
    <x v="17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89837"/>
    <s v="3029632855292691"/>
    <s v="1.04.00"/>
    <s v="FP Labor - Remote Services Ctr"/>
    <s v="Labor"/>
    <s v="CO-C"/>
    <d v="2026-02-25T00:00:00"/>
    <x v="4"/>
    <x v="18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689831"/>
    <s v="3029631089342482"/>
    <s v="1.04.00"/>
    <s v="FP Labor - Remote Services Ctr"/>
    <s v="Labor"/>
    <s v="CO-C"/>
    <d v="2026-02-25T00:00:00"/>
    <x v="4"/>
    <x v="19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569"/>
    <s v="3029632418167051"/>
    <s v="1.04.00"/>
    <s v="FP Labor - Remote Services Ctr"/>
    <s v="Labor"/>
    <s v="CO-C"/>
    <d v="2026-02-26T00:00:00"/>
    <x v="4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24979"/>
    <s v="1527868300:1"/>
    <s v="1.04.00"/>
    <s v="FP Labor - Remote Services Ctr"/>
    <s v="Labor"/>
    <s v="CO-C"/>
    <d v="2026-02-26T00:00:00"/>
    <x v="4"/>
    <x v="20"/>
    <s v="Employee"/>
    <s v="6"/>
    <s v="ORCL IN OSSI"/>
    <s v="504826 - 1CV:GSC-Business Analytics - PaaS"/>
    <s v="09B3"/>
    <s v="Y"/>
    <s v="Y"/>
    <s v="Unrecognized"/>
    <n v="4"/>
    <s v="AED"/>
    <n v="113.45"/>
    <n v="754.44"/>
    <n v="453.8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1170"/>
    <s v="3029633070097361"/>
    <s v="1.04.00"/>
    <s v="FP Labor - Remote Services Ctr"/>
    <s v="Labor"/>
    <s v="CO-C"/>
    <d v="2026-02-26T00:00:00"/>
    <x v="4"/>
    <x v="17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664"/>
    <s v="3029632855292711"/>
    <s v="1.04.00"/>
    <s v="FP Labor - Remote Services Ctr"/>
    <s v="Labor"/>
    <s v="CO-C"/>
    <d v="2026-02-26T00:00:00"/>
    <x v="4"/>
    <x v="18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780585"/>
    <s v="3029631089342502"/>
    <s v="1.04.00"/>
    <s v="FP Labor - Remote Services Ctr"/>
    <s v="Labor"/>
    <s v="CO-C"/>
    <d v="2026-02-26T00:00:00"/>
    <x v="4"/>
    <x v="19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924818"/>
    <s v="3029632418167071"/>
    <s v="1.04.00"/>
    <s v="FP Labor - Remote Services Ctr"/>
    <s v="Labor"/>
    <s v="CO-C"/>
    <d v="2026-02-27T00:00:00"/>
    <x v="4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4920556"/>
    <s v="1527868302:1"/>
    <s v="1.04.00"/>
    <s v="FP Labor - Remote Services Ctr"/>
    <s v="Labor"/>
    <s v="CO-C"/>
    <d v="2026-02-27T00:00:00"/>
    <x v="4"/>
    <x v="20"/>
    <s v="Employee"/>
    <s v="6"/>
    <s v="ORCL IN OSSI"/>
    <s v="504826 - 1CV:GSC-Business Analytics - PaaS"/>
    <s v="09B3"/>
    <s v="Y"/>
    <s v="Y"/>
    <s v="Unrecognized"/>
    <n v="4"/>
    <s v="AED"/>
    <n v="113.45"/>
    <n v="754.44"/>
    <n v="453.8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787"/>
    <s v="3029635786061452"/>
    <s v="1.04.00"/>
    <s v="FP Labor - Remote Services Ctr"/>
    <s v="Labor"/>
    <s v="CO-C"/>
    <d v="2026-03-02T00:00:00"/>
    <x v="5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130541"/>
    <s v="1529322848:1"/>
    <s v="1.04.00"/>
    <s v="FP Labor - Remote Services Ctr"/>
    <s v="Labor"/>
    <s v="CO-C"/>
    <d v="2026-03-02T00:00:00"/>
    <x v="5"/>
    <x v="20"/>
    <s v="Employee"/>
    <s v="6"/>
    <s v="ORCL IN OSSI"/>
    <s v="504826 - 1CV:GSC-Business Analytics - PaaS"/>
    <s v="09B3"/>
    <s v="Y"/>
    <s v="Y"/>
    <s v="Unrecognized"/>
    <n v="4"/>
    <s v="AED"/>
    <n v="113.45"/>
    <n v="754.44"/>
    <n v="453.8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44143"/>
    <s v="1530232887:1"/>
    <s v="1.04.00"/>
    <s v="FP Labor - Remote Services Ctr"/>
    <s v="Labor"/>
    <s v="CO-C"/>
    <d v="2026-03-02T00:00:00"/>
    <x v="5"/>
    <x v="21"/>
    <s v="Employee"/>
    <s v="5"/>
    <s v="ORCL IN OSSI"/>
    <s v="504826 - 1CV:GSC-Business Analytics - PaaS"/>
    <s v="09B1"/>
    <s v="Y"/>
    <s v="Y"/>
    <s v="Unrecognized"/>
    <n v="4"/>
    <s v="AED"/>
    <n v="70.61"/>
    <n v="660.13"/>
    <n v="282.43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785"/>
    <s v="3029635786061472"/>
    <s v="1.04.00"/>
    <s v="FP Labor - Remote Services Ctr"/>
    <s v="Labor"/>
    <s v="CO-C"/>
    <d v="2026-03-03T00:00:00"/>
    <x v="5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207930"/>
    <s v="1529322850:1"/>
    <s v="1.04.00"/>
    <s v="FP Labor - Remote Services Ctr"/>
    <s v="Labor"/>
    <s v="CO-C"/>
    <d v="2026-03-03T00:00:00"/>
    <x v="5"/>
    <x v="20"/>
    <s v="Employee"/>
    <s v="6"/>
    <s v="ORCL IN OSSI"/>
    <s v="504826 - 1CV:GSC-Business Analytics - PaaS"/>
    <s v="09B3"/>
    <s v="Y"/>
    <s v="Y"/>
    <s v="Unrecognized"/>
    <n v="4"/>
    <s v="AED"/>
    <n v="113.45"/>
    <n v="754.44"/>
    <n v="453.8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20690"/>
    <s v="1530232892:1"/>
    <s v="1.04.00"/>
    <s v="FP Labor - Remote Services Ctr"/>
    <s v="Labor"/>
    <s v="CO-C"/>
    <d v="2026-03-03T00:00:00"/>
    <x v="5"/>
    <x v="21"/>
    <s v="Employee"/>
    <s v="5"/>
    <s v="ORCL IN OSSI"/>
    <s v="504826 - 1CV:GSC-Business Analytics - PaaS"/>
    <s v="09B1"/>
    <s v="Y"/>
    <s v="Y"/>
    <s v="Unrecognized"/>
    <n v="4"/>
    <s v="AED"/>
    <n v="70.61"/>
    <n v="660.13"/>
    <n v="282.43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783"/>
    <s v="3029635786061492"/>
    <s v="1.04.00"/>
    <s v="FP Labor - Remote Services Ctr"/>
    <s v="Labor"/>
    <s v="CO-C"/>
    <d v="2026-03-04T00:00:00"/>
    <x v="5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078"/>
    <s v="3029637682223222"/>
    <s v="1.04.00"/>
    <s v="FP Labor - Remote Services Ctr"/>
    <s v="Labor"/>
    <s v="CO-C"/>
    <d v="2026-03-04T00:00:00"/>
    <x v="5"/>
    <x v="22"/>
    <s v="Billable Contractor"/>
    <m/>
    <s v="ORCL EG"/>
    <s v="509485 - 73M: EMEA Business Analytics - PaaS"/>
    <s v="008U"/>
    <s v="Y"/>
    <s v="Y"/>
    <s v="Unrecognized"/>
    <n v="7"/>
    <s v="AED"/>
    <n v="68.87"/>
    <n v="542.25"/>
    <n v="482.08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42146"/>
    <s v="1530232895:1"/>
    <s v="1.04.00"/>
    <s v="FP Labor - Remote Services Ctr"/>
    <s v="Labor"/>
    <s v="CO-C"/>
    <d v="2026-03-04T00:00:00"/>
    <x v="5"/>
    <x v="21"/>
    <s v="Employee"/>
    <s v="5"/>
    <s v="ORCL IN OSSI"/>
    <s v="504826 - 1CV:GSC-Business Analytics - PaaS"/>
    <s v="09B1"/>
    <s v="Y"/>
    <s v="Y"/>
    <s v="Unrecognized"/>
    <n v="4"/>
    <s v="AED"/>
    <n v="70.61"/>
    <n v="660.13"/>
    <n v="282.43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737"/>
    <s v="3029635786061512"/>
    <s v="1.04.00"/>
    <s v="FP Labor - Remote Services Ctr"/>
    <s v="Labor"/>
    <s v="CO-C"/>
    <d v="2026-03-05T00:00:00"/>
    <x v="5"/>
    <x v="16"/>
    <s v="Billable Contractor"/>
    <m/>
    <s v="ORCL EG"/>
    <s v="509485 - 73M: EMEA Business Analytics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12150"/>
    <s v="1529322854:1"/>
    <s v="1.04.00"/>
    <s v="FP Labor - Remote Services Ctr"/>
    <s v="Labor"/>
    <s v="CO-C"/>
    <d v="2026-03-05T00:00:00"/>
    <x v="5"/>
    <x v="20"/>
    <s v="Employee"/>
    <s v="6"/>
    <s v="ORCL IN OSSI"/>
    <s v="504826 - 1CV:GSC-Business Analytics - PaaS"/>
    <s v="09B3"/>
    <s v="Y"/>
    <s v="Y"/>
    <s v="Unrecognized"/>
    <n v="4"/>
    <s v="AED"/>
    <n v="111.96"/>
    <n v="754.44"/>
    <n v="447.8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076"/>
    <s v="3029637682223242"/>
    <s v="1.04.00"/>
    <s v="FP Labor - Remote Services Ctr"/>
    <s v="Labor"/>
    <s v="CO-C"/>
    <d v="2026-03-05T00:00:00"/>
    <x v="5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42572"/>
    <s v="1530232901:1"/>
    <s v="1.04.00"/>
    <s v="FP Labor - Remote Services Ctr"/>
    <s v="Labor"/>
    <s v="CO-C"/>
    <d v="2026-03-05T00:00:00"/>
    <x v="5"/>
    <x v="21"/>
    <s v="Employee"/>
    <s v="5"/>
    <s v="ORCL IN OSSI"/>
    <s v="504826 - 1CV:GSC-Business Analytics - PaaS"/>
    <s v="09B1"/>
    <s v="Y"/>
    <s v="Y"/>
    <s v="Unrecognized"/>
    <n v="4"/>
    <s v="AED"/>
    <n v="69.680000000000007"/>
    <n v="660.13"/>
    <n v="278.70999999999998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28197"/>
    <s v="1529322856:1"/>
    <s v="1.04.00"/>
    <s v="FP Labor - Remote Services Ctr"/>
    <s v="Labor"/>
    <s v="CO-C"/>
    <d v="2026-03-06T00:00:00"/>
    <x v="5"/>
    <x v="20"/>
    <s v="Employee"/>
    <s v="6"/>
    <s v="ORCL IN OSSI"/>
    <s v="504826 - 1CV:GSC-Business Analytics - PaaS"/>
    <s v="09B3"/>
    <s v="Y"/>
    <s v="Y"/>
    <s v="Unrecognized"/>
    <n v="4"/>
    <s v="AED"/>
    <n v="112.63"/>
    <n v="754.44"/>
    <n v="450.5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909560"/>
    <s v="1533016608:1"/>
    <s v="1.04.00"/>
    <s v="FP Labor - Remote Services Ctr"/>
    <s v="Labor"/>
    <s v="CO-C"/>
    <d v="2026-03-06T00:00:00"/>
    <x v="5"/>
    <x v="23"/>
    <s v="Employee"/>
    <s v="7"/>
    <s v="ORCL IN OSSI"/>
    <s v="504736 - 0TV:GSC-SCM Cloud"/>
    <s v="009B"/>
    <s v="Y"/>
    <s v="Y"/>
    <s v="Unrecognized"/>
    <n v="8"/>
    <s v="AED"/>
    <n v="112.63"/>
    <n v="813.38"/>
    <n v="901.06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330993"/>
    <s v="1530232905:1"/>
    <s v="1.04.00"/>
    <s v="FP Labor - Remote Services Ctr"/>
    <s v="Labor"/>
    <s v="CO-C"/>
    <d v="2026-03-06T00:00:00"/>
    <x v="5"/>
    <x v="21"/>
    <s v="Employee"/>
    <s v="5"/>
    <s v="ORCL IN OSSI"/>
    <s v="504826 - 1CV:GSC-Business Analytics - PaaS"/>
    <s v="09B1"/>
    <s v="Y"/>
    <s v="Y"/>
    <s v="Unrecognized"/>
    <n v="4"/>
    <s v="AED"/>
    <n v="70.099999999999994"/>
    <n v="660.13"/>
    <n v="280.38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561"/>
    <s v="3029651846300971"/>
    <s v="1.04.00"/>
    <s v="FP Labor - Remote Services Ctr"/>
    <s v="Labor"/>
    <s v="CO-C"/>
    <d v="2026-03-09T00:00:00"/>
    <x v="6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9835"/>
    <s v="1530593488:3"/>
    <s v="1.04.00"/>
    <s v="FP Labor - Remote Services Ctr"/>
    <s v="Labor"/>
    <s v="CO-C"/>
    <d v="2026-03-09T00:00:00"/>
    <x v="6"/>
    <x v="20"/>
    <s v="Employee"/>
    <s v="6"/>
    <s v="ORCL IN OSSI"/>
    <s v="504826 - 1CV:GSC-Business Analytics - PaaS"/>
    <s v="09B3"/>
    <s v="Y"/>
    <s v="Y"/>
    <s v="Unrecognized"/>
    <n v="1"/>
    <s v="AED"/>
    <n v="112.45"/>
    <n v="754.44"/>
    <n v="112.45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931577"/>
    <s v="1531383373:1"/>
    <s v="1.04.00"/>
    <s v="FP Labor - Remote Services Ctr"/>
    <s v="Labor"/>
    <s v="CO-C"/>
    <d v="2026-03-09T00:00:00"/>
    <x v="6"/>
    <x v="21"/>
    <s v="Employee"/>
    <s v="5"/>
    <s v="ORCL IN OSSI"/>
    <s v="504826 - 1CV:GSC-Business Analytics - PaaS"/>
    <s v="09B1"/>
    <s v="Y"/>
    <s v="Y"/>
    <s v="Unrecognized"/>
    <n v="4"/>
    <s v="AED"/>
    <n v="69.989999999999995"/>
    <n v="660.13"/>
    <n v="279.94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527"/>
    <s v="3029651846300991"/>
    <s v="1.04.00"/>
    <s v="FP Labor - Remote Services Ctr"/>
    <s v="Labor"/>
    <s v="CO-C"/>
    <d v="2026-03-10T00:00:00"/>
    <x v="6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5287"/>
    <s v="1530593490:3"/>
    <s v="1.04.00"/>
    <s v="FP Labor - Remote Services Ctr"/>
    <s v="Labor"/>
    <s v="CO-C"/>
    <d v="2026-03-10T00:00:00"/>
    <x v="6"/>
    <x v="20"/>
    <s v="Employee"/>
    <s v="6"/>
    <s v="ORCL IN OSSI"/>
    <s v="504826 - 1CV:GSC-Business Analytics - PaaS"/>
    <s v="09B3"/>
    <s v="Y"/>
    <s v="Y"/>
    <s v="Unrecognized"/>
    <n v="1"/>
    <s v="AED"/>
    <n v="112.45"/>
    <n v="754.44"/>
    <n v="112.45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936493"/>
    <s v="1531383379:1"/>
    <s v="1.04.00"/>
    <s v="FP Labor - Remote Services Ctr"/>
    <s v="Labor"/>
    <s v="CO-C"/>
    <d v="2026-03-10T00:00:00"/>
    <x v="6"/>
    <x v="21"/>
    <s v="Employee"/>
    <s v="5"/>
    <s v="ORCL IN OSSI"/>
    <s v="504826 - 1CV:GSC-Business Analytics - PaaS"/>
    <s v="09B1"/>
    <s v="Y"/>
    <s v="Y"/>
    <s v="Unrecognized"/>
    <n v="4"/>
    <s v="AED"/>
    <n v="69.989999999999995"/>
    <n v="660.13"/>
    <n v="279.94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502"/>
    <s v="3029651846301011"/>
    <s v="1.04.00"/>
    <s v="FP Labor - Remote Services Ctr"/>
    <s v="Labor"/>
    <s v="CO-C"/>
    <d v="2026-03-11T00:00:00"/>
    <x v="6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2725"/>
    <s v="1530593492:3"/>
    <s v="1.04.00"/>
    <s v="FP Labor - Remote Services Ctr"/>
    <s v="Labor"/>
    <s v="CO-C"/>
    <d v="2026-03-11T00:00:00"/>
    <x v="6"/>
    <x v="20"/>
    <s v="Employee"/>
    <s v="6"/>
    <s v="ORCL IN OSSI"/>
    <s v="504826 - 1CV:GSC-Business Analytics - PaaS"/>
    <s v="09B3"/>
    <s v="Y"/>
    <s v="Y"/>
    <s v="Unrecognized"/>
    <n v="1"/>
    <s v="AED"/>
    <n v="112.38"/>
    <n v="754.44"/>
    <n v="112.38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041"/>
    <s v="3029637679739692"/>
    <s v="1.04.00"/>
    <s v="FP Labor - Remote Services Ctr"/>
    <s v="Labor"/>
    <s v="CO-C"/>
    <d v="2026-03-11T00:00:00"/>
    <x v="6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935556"/>
    <s v="1531383383:1"/>
    <s v="1.04.00"/>
    <s v="FP Labor - Remote Services Ctr"/>
    <s v="Labor"/>
    <s v="CO-C"/>
    <d v="2026-03-11T00:00:00"/>
    <x v="6"/>
    <x v="21"/>
    <s v="Employee"/>
    <s v="5"/>
    <s v="ORCL IN OSSI"/>
    <s v="504826 - 1CV:GSC-Business Analytics - PaaS"/>
    <s v="09B1"/>
    <s v="Y"/>
    <s v="Y"/>
    <s v="Unrecognized"/>
    <n v="4"/>
    <s v="AED"/>
    <n v="69.94"/>
    <n v="660.13"/>
    <n v="279.76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940"/>
    <s v="3029651846301041"/>
    <s v="1.04.00"/>
    <s v="FP Labor - Remote Services Ctr"/>
    <s v="Labor"/>
    <s v="CO-C"/>
    <d v="2026-03-12T00:00:00"/>
    <x v="6"/>
    <x v="16"/>
    <s v="Billable Contractor"/>
    <m/>
    <s v="ORCL EG"/>
    <s v="509485 - 73M: EMEA Business Analytics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9344"/>
    <s v="1530593494:3"/>
    <s v="1.04.00"/>
    <s v="FP Labor - Remote Services Ctr"/>
    <s v="Labor"/>
    <s v="CO-C"/>
    <d v="2026-03-12T00:00:00"/>
    <x v="6"/>
    <x v="20"/>
    <s v="Employee"/>
    <s v="6"/>
    <s v="ORCL IN OSSI"/>
    <s v="504826 - 1CV:GSC-Business Analytics - PaaS"/>
    <s v="09B3"/>
    <s v="Y"/>
    <s v="Y"/>
    <s v="Unrecognized"/>
    <n v="1"/>
    <s v="AED"/>
    <n v="112.1"/>
    <n v="754.44"/>
    <n v="112.1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891"/>
    <s v="3029650094311151"/>
    <s v="1.04.00"/>
    <s v="FP Labor - Remote Services Ctr"/>
    <s v="Labor"/>
    <s v="CO-C"/>
    <d v="2026-03-12T00:00:00"/>
    <x v="6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935415"/>
    <s v="1531383390:1"/>
    <s v="1.04.00"/>
    <s v="FP Labor - Remote Services Ctr"/>
    <s v="Labor"/>
    <s v="CO-C"/>
    <d v="2026-03-12T00:00:00"/>
    <x v="6"/>
    <x v="21"/>
    <s v="Employee"/>
    <s v="5"/>
    <s v="ORCL IN OSSI"/>
    <s v="504826 - 1CV:GSC-Business Analytics - PaaS"/>
    <s v="09B1"/>
    <s v="Y"/>
    <s v="Y"/>
    <s v="Unrecognized"/>
    <n v="4"/>
    <s v="AED"/>
    <n v="69.760000000000005"/>
    <n v="660.13"/>
    <n v="279.05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867687"/>
    <s v="1531090268:1"/>
    <s v="1.04.00"/>
    <s v="FP Labor - Remote Services Ctr"/>
    <s v="Labor"/>
    <s v="CO-C"/>
    <d v="2026-03-13T00:00:00"/>
    <x v="6"/>
    <x v="23"/>
    <s v="Employee"/>
    <s v="7"/>
    <s v="ORCL IN OSSI"/>
    <s v="504736 - 0TV:GSC-SCM Cloud"/>
    <s v="009B"/>
    <s v="Y"/>
    <s v="Y"/>
    <s v="Unrecognized"/>
    <n v="8"/>
    <s v="AED"/>
    <n v="111.9"/>
    <n v="813.38"/>
    <n v="895.2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5935827"/>
    <s v="1531383395:1"/>
    <s v="1.04.00"/>
    <s v="FP Labor - Remote Services Ctr"/>
    <s v="Labor"/>
    <s v="CO-C"/>
    <d v="2026-03-13T00:00:00"/>
    <x v="6"/>
    <x v="21"/>
    <s v="Employee"/>
    <s v="5"/>
    <s v="ORCL IN OSSI"/>
    <s v="504826 - 1CV:GSC-Business Analytics - PaaS"/>
    <s v="09B1"/>
    <s v="Y"/>
    <s v="Y"/>
    <s v="Unrecognized"/>
    <n v="4"/>
    <s v="AED"/>
    <n v="69.64"/>
    <n v="660.13"/>
    <n v="278.57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127"/>
    <s v="3029642609572101"/>
    <s v="1.04.00"/>
    <s v="FP Labor - Remote Services Ctr"/>
    <s v="Labor"/>
    <s v="CO-C"/>
    <d v="2026-03-16T00:00:00"/>
    <x v="7"/>
    <x v="2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676"/>
    <s v="3029651846305261"/>
    <s v="1.04.00"/>
    <s v="FP Labor - Remote Services Ctr"/>
    <s v="Labor"/>
    <s v="CO-C"/>
    <d v="2026-03-16T00:00:00"/>
    <x v="7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5405"/>
    <s v="1531737362:3"/>
    <s v="1.04.00"/>
    <s v="FP Labor - Remote Services Ctr"/>
    <s v="Labor"/>
    <s v="CO-C"/>
    <d v="2026-03-16T00:00:00"/>
    <x v="7"/>
    <x v="20"/>
    <s v="Employee"/>
    <s v="6"/>
    <s v="ORCL IN OSSI"/>
    <s v="504826 - 1CV:GSC-Business Analytics - PaaS"/>
    <s v="09B3"/>
    <s v="Y"/>
    <s v="Y"/>
    <s v="Unrecognized"/>
    <n v="1"/>
    <s v="AED"/>
    <n v="111.59"/>
    <n v="754.44"/>
    <n v="111.59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3454"/>
    <s v="1532243403:1"/>
    <s v="1.04.00"/>
    <s v="FP Labor - Remote Services Ctr"/>
    <s v="Labor"/>
    <s v="CO-C"/>
    <d v="2026-03-16T00:00:00"/>
    <x v="7"/>
    <x v="21"/>
    <s v="Employee"/>
    <s v="5"/>
    <s v="ORCL IN OSSI"/>
    <s v="504826 - 1CV:GSC-Business Analytics - PaaS"/>
    <s v="09B1"/>
    <s v="Y"/>
    <s v="Y"/>
    <s v="Unrecognized"/>
    <n v="4"/>
    <s v="AED"/>
    <n v="69.45"/>
    <n v="660.13"/>
    <n v="277.77999999999997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125"/>
    <s v="3029642609572121"/>
    <s v="1.04.00"/>
    <s v="FP Labor - Remote Services Ctr"/>
    <s v="Labor"/>
    <s v="CO-C"/>
    <d v="2026-03-17T00:00:00"/>
    <x v="7"/>
    <x v="2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674"/>
    <s v="3029651846305281"/>
    <s v="1.04.00"/>
    <s v="FP Labor - Remote Services Ctr"/>
    <s v="Labor"/>
    <s v="CO-C"/>
    <d v="2026-03-17T00:00:00"/>
    <x v="7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90374"/>
    <s v="1531737364:3"/>
    <s v="1.04.00"/>
    <s v="FP Labor - Remote Services Ctr"/>
    <s v="Labor"/>
    <s v="CO-C"/>
    <d v="2026-03-17T00:00:00"/>
    <x v="7"/>
    <x v="20"/>
    <s v="Employee"/>
    <s v="6"/>
    <s v="ORCL IN OSSI"/>
    <s v="504826 - 1CV:GSC-Business Analytics - PaaS"/>
    <s v="09B3"/>
    <s v="Y"/>
    <s v="Y"/>
    <s v="Unrecognized"/>
    <n v="1"/>
    <s v="AED"/>
    <n v="111.63"/>
    <n v="754.44"/>
    <n v="111.63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2029"/>
    <s v="1532243410:1"/>
    <s v="1.04.00"/>
    <s v="FP Labor - Remote Services Ctr"/>
    <s v="Labor"/>
    <s v="CO-C"/>
    <d v="2026-03-17T00:00:00"/>
    <x v="7"/>
    <x v="21"/>
    <s v="Employee"/>
    <s v="5"/>
    <s v="ORCL IN OSSI"/>
    <s v="504826 - 1CV:GSC-Business Analytics - PaaS"/>
    <s v="09B1"/>
    <s v="Y"/>
    <s v="Y"/>
    <s v="Unrecognized"/>
    <n v="4"/>
    <s v="AED"/>
    <n v="69.47"/>
    <n v="660.13"/>
    <n v="277.88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111"/>
    <s v="3029642609572141"/>
    <s v="1.04.00"/>
    <s v="FP Labor - Remote Services Ctr"/>
    <s v="Labor"/>
    <s v="CO-C"/>
    <d v="2026-03-18T00:00:00"/>
    <x v="7"/>
    <x v="2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634"/>
    <s v="3029651846305301"/>
    <s v="1.04.00"/>
    <s v="FP Labor - Remote Services Ctr"/>
    <s v="Labor"/>
    <s v="CO-C"/>
    <d v="2026-03-18T00:00:00"/>
    <x v="7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90884"/>
    <s v="1531737366:3"/>
    <s v="1.04.00"/>
    <s v="FP Labor - Remote Services Ctr"/>
    <s v="Labor"/>
    <s v="CO-C"/>
    <d v="2026-03-18T00:00:00"/>
    <x v="7"/>
    <x v="20"/>
    <s v="Employee"/>
    <s v="6"/>
    <s v="ORCL IN OSSI"/>
    <s v="504826 - 1CV:GSC-Business Analytics - PaaS"/>
    <s v="09B3"/>
    <s v="Y"/>
    <s v="Y"/>
    <s v="Unrecognized"/>
    <n v="1"/>
    <s v="AED"/>
    <n v="111.68"/>
    <n v="754.44"/>
    <n v="111.68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03584"/>
    <s v="1532034546:1"/>
    <s v="1.04.00"/>
    <s v="FP Labor - Remote Services Ctr"/>
    <s v="Labor"/>
    <s v="CO-C"/>
    <d v="2026-03-18T00:00:00"/>
    <x v="7"/>
    <x v="23"/>
    <s v="Employee"/>
    <s v="7"/>
    <s v="ORCL IN OSSI"/>
    <s v="504736 - 0TV:GSC-SCM Cloud"/>
    <s v="009B"/>
    <s v="Y"/>
    <s v="Y"/>
    <s v="Unrecognized"/>
    <n v="8"/>
    <s v="AED"/>
    <n v="111.68"/>
    <n v="813.38"/>
    <n v="893.44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4769"/>
    <s v="3029637681217122"/>
    <s v="1.04.00"/>
    <s v="FP Labor - Remote Services Ctr"/>
    <s v="Labor"/>
    <s v="CO-C"/>
    <d v="2026-03-18T00:00:00"/>
    <x v="7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5127"/>
    <s v="1532243415:1"/>
    <s v="1.04.00"/>
    <s v="FP Labor - Remote Services Ctr"/>
    <s v="Labor"/>
    <s v="CO-C"/>
    <d v="2026-03-18T00:00:00"/>
    <x v="7"/>
    <x v="21"/>
    <s v="Employee"/>
    <s v="5"/>
    <s v="ORCL IN OSSI"/>
    <s v="504826 - 1CV:GSC-Business Analytics - PaaS"/>
    <s v="09B1"/>
    <s v="Y"/>
    <s v="Y"/>
    <s v="Unrecognized"/>
    <n v="4"/>
    <s v="AED"/>
    <n v="69.5"/>
    <n v="660.13"/>
    <n v="278.01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606"/>
    <s v="3029651846305331"/>
    <s v="1.04.00"/>
    <s v="FP Labor - Remote Services Ctr"/>
    <s v="Labor"/>
    <s v="CO-C"/>
    <d v="2026-03-19T00:00:00"/>
    <x v="7"/>
    <x v="16"/>
    <s v="Billable Contractor"/>
    <m/>
    <s v="ORCL EG"/>
    <s v="509485 - 73M: EMEA Business Analytics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6078"/>
    <s v="1531737368:3"/>
    <s v="1.04.00"/>
    <s v="FP Labor - Remote Services Ctr"/>
    <s v="Labor"/>
    <s v="CO-C"/>
    <d v="2026-03-19T00:00:00"/>
    <x v="7"/>
    <x v="20"/>
    <s v="Employee"/>
    <s v="6"/>
    <s v="ORCL IN OSSI"/>
    <s v="504826 - 1CV:GSC-Business Analytics - PaaS"/>
    <s v="09B3"/>
    <s v="Y"/>
    <s v="Y"/>
    <s v="Unrecognized"/>
    <n v="1"/>
    <s v="AED"/>
    <n v="111.37"/>
    <n v="754.44"/>
    <n v="111.37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4767"/>
    <s v="3029637681217142"/>
    <s v="1.04.00"/>
    <s v="FP Labor - Remote Services Ctr"/>
    <s v="Labor"/>
    <s v="CO-C"/>
    <d v="2026-03-19T00:00:00"/>
    <x v="7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81847"/>
    <s v="1532243423:1"/>
    <s v="1.04.00"/>
    <s v="FP Labor - Remote Services Ctr"/>
    <s v="Labor"/>
    <s v="CO-C"/>
    <d v="2026-03-19T00:00:00"/>
    <x v="7"/>
    <x v="21"/>
    <s v="Employee"/>
    <s v="5"/>
    <s v="ORCL IN OSSI"/>
    <s v="504826 - 1CV:GSC-Business Analytics - PaaS"/>
    <s v="09B1"/>
    <s v="Y"/>
    <s v="Y"/>
    <s v="Unrecognized"/>
    <n v="4"/>
    <s v="AED"/>
    <n v="69.31"/>
    <n v="660.13"/>
    <n v="277.25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390071"/>
    <s v="1532243429:1"/>
    <s v="1.04.00"/>
    <s v="FP Labor - Remote Services Ctr"/>
    <s v="Labor"/>
    <s v="CO-C"/>
    <d v="2026-03-20T00:00:00"/>
    <x v="7"/>
    <x v="21"/>
    <s v="Employee"/>
    <s v="5"/>
    <s v="ORCL IN OSSI"/>
    <s v="504826 - 1CV:GSC-Business Analytics - PaaS"/>
    <s v="09B1"/>
    <s v="Y"/>
    <s v="Y"/>
    <s v="Unrecognized"/>
    <n v="4"/>
    <s v="AED"/>
    <n v="69.31"/>
    <n v="660.13"/>
    <n v="277.25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766"/>
    <s v="3029651843508601"/>
    <s v="1.04.00"/>
    <s v="FP Labor - Remote Services Ctr"/>
    <s v="Labor"/>
    <s v="CO-C"/>
    <d v="2026-03-23T00:00:00"/>
    <x v="8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20462"/>
    <s v="1532281185:2"/>
    <s v="1.04.00"/>
    <s v="FP Labor - Remote Services Ctr"/>
    <s v="Labor"/>
    <s v="CO-C"/>
    <d v="2026-03-23T00:00:00"/>
    <x v="8"/>
    <x v="20"/>
    <s v="Employee"/>
    <s v="6"/>
    <s v="ORCL IN OSSI"/>
    <s v="504826 - 1CV:GSC-Business Analytics - PaaS"/>
    <s v="09B3"/>
    <s v="Y"/>
    <s v="Y"/>
    <s v="Unrecognized"/>
    <n v="1"/>
    <s v="AED"/>
    <n v="110.1"/>
    <n v="754.44"/>
    <n v="110.1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629926"/>
    <s v="1532243505:1"/>
    <s v="1.04.00"/>
    <s v="FP Labor - Remote Services Ctr"/>
    <s v="Labor"/>
    <s v="CO-C"/>
    <d v="2026-03-23T00:00:00"/>
    <x v="8"/>
    <x v="21"/>
    <s v="Employee"/>
    <s v="5"/>
    <s v="ORCL IN OSSI"/>
    <s v="504826 - 1CV:GSC-Business Analytics - PaaS"/>
    <s v="09B1"/>
    <s v="Y"/>
    <s v="Y"/>
    <s v="Unrecognized"/>
    <n v="4"/>
    <s v="AED"/>
    <n v="68.52"/>
    <n v="660.13"/>
    <n v="274.08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722"/>
    <s v="3029651843508621"/>
    <s v="1.04.00"/>
    <s v="FP Labor - Remote Services Ctr"/>
    <s v="Labor"/>
    <s v="CO-C"/>
    <d v="2026-03-24T00:00:00"/>
    <x v="8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702305"/>
    <s v="1532281189:2"/>
    <s v="1.04.00"/>
    <s v="FP Labor - Remote Services Ctr"/>
    <s v="Labor"/>
    <s v="CO-C"/>
    <d v="2026-03-24T00:00:00"/>
    <x v="8"/>
    <x v="20"/>
    <s v="Employee"/>
    <s v="6"/>
    <s v="ORCL IN OSSI"/>
    <s v="504826 - 1CV:GSC-Business Analytics - PaaS"/>
    <s v="09B3"/>
    <s v="Y"/>
    <s v="Y"/>
    <s v="Unrecognized"/>
    <n v="1"/>
    <s v="AED"/>
    <n v="109.78"/>
    <n v="754.44"/>
    <n v="109.78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702793"/>
    <s v="1532243512:1"/>
    <s v="1.04.00"/>
    <s v="FP Labor - Remote Services Ctr"/>
    <s v="Labor"/>
    <s v="CO-C"/>
    <d v="2026-03-24T00:00:00"/>
    <x v="8"/>
    <x v="21"/>
    <s v="Employee"/>
    <s v="5"/>
    <s v="ORCL IN OSSI"/>
    <s v="504826 - 1CV:GSC-Business Analytics - PaaS"/>
    <s v="09B1"/>
    <s v="Y"/>
    <s v="Y"/>
    <s v="Unrecognized"/>
    <n v="4"/>
    <s v="AED"/>
    <n v="68.319999999999993"/>
    <n v="660.13"/>
    <n v="273.29000000000002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720"/>
    <s v="3029651843508641"/>
    <s v="1.04.00"/>
    <s v="FP Labor - Remote Services Ctr"/>
    <s v="Labor"/>
    <s v="CO-C"/>
    <d v="2026-03-25T00:00:00"/>
    <x v="8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767260"/>
    <s v="1532281192:2"/>
    <s v="1.04.00"/>
    <s v="FP Labor - Remote Services Ctr"/>
    <s v="Labor"/>
    <s v="CO-C"/>
    <d v="2026-03-25T00:00:00"/>
    <x v="8"/>
    <x v="20"/>
    <s v="Employee"/>
    <s v="6"/>
    <s v="ORCL IN OSSI"/>
    <s v="504826 - 1CV:GSC-Business Analytics - PaaS"/>
    <s v="09B3"/>
    <s v="Y"/>
    <s v="Y"/>
    <s v="Unrecognized"/>
    <n v="1"/>
    <s v="AED"/>
    <n v="109.9"/>
    <n v="754.44"/>
    <n v="109.9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033"/>
    <s v="3029637683072922"/>
    <s v="1.04.00"/>
    <s v="FP Labor - Remote Services Ctr"/>
    <s v="Labor"/>
    <s v="CO-C"/>
    <d v="2026-03-25T00:00:00"/>
    <x v="8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765185"/>
    <s v="1532243517:1"/>
    <s v="1.04.00"/>
    <s v="FP Labor - Remote Services Ctr"/>
    <s v="Labor"/>
    <s v="CO-C"/>
    <d v="2026-03-25T00:00:00"/>
    <x v="8"/>
    <x v="21"/>
    <s v="Employee"/>
    <s v="5"/>
    <s v="ORCL IN OSSI"/>
    <s v="504826 - 1CV:GSC-Business Analytics - PaaS"/>
    <s v="09B1"/>
    <s v="Y"/>
    <s v="Y"/>
    <s v="Unrecognized"/>
    <n v="4"/>
    <s v="AED"/>
    <n v="68.400000000000006"/>
    <n v="660.13"/>
    <n v="273.58999999999997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101"/>
    <s v="3029642610121741"/>
    <s v="1.04.00"/>
    <s v="FP Labor - Remote Services Ctr"/>
    <s v="Labor"/>
    <s v="CO-C"/>
    <d v="2026-03-26T00:00:00"/>
    <x v="8"/>
    <x v="2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691"/>
    <s v="3029651843508671"/>
    <s v="1.04.00"/>
    <s v="FP Labor - Remote Services Ctr"/>
    <s v="Labor"/>
    <s v="CO-C"/>
    <d v="2026-03-26T00:00:00"/>
    <x v="8"/>
    <x v="16"/>
    <s v="Billable Contractor"/>
    <m/>
    <s v="ORCL EG"/>
    <s v="509485 - 73M: EMEA Business Analytics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61908"/>
    <s v="1532281195:2"/>
    <s v="1.04.00"/>
    <s v="FP Labor - Remote Services Ctr"/>
    <s v="Labor"/>
    <s v="CO-C"/>
    <d v="2026-03-26T00:00:00"/>
    <x v="8"/>
    <x v="20"/>
    <s v="Employee"/>
    <s v="6"/>
    <s v="ORCL IN OSSI"/>
    <s v="504826 - 1CV:GSC-Business Analytics - PaaS"/>
    <s v="09B3"/>
    <s v="Y"/>
    <s v="Y"/>
    <s v="Unrecognized"/>
    <n v="1"/>
    <s v="AED"/>
    <n v="109.79"/>
    <n v="754.44"/>
    <n v="109.79"/>
    <n v="0"/>
    <n v="754.4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5031"/>
    <s v="3029637683072942"/>
    <s v="1.04.00"/>
    <s v="FP Labor - Remote Services Ctr"/>
    <s v="Labor"/>
    <s v="CO-C"/>
    <d v="2026-03-26T00:00:00"/>
    <x v="8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861458"/>
    <s v="1532243525:1"/>
    <s v="1.04.00"/>
    <s v="FP Labor - Remote Services Ctr"/>
    <s v="Labor"/>
    <s v="CO-C"/>
    <d v="2026-03-26T00:00:00"/>
    <x v="8"/>
    <x v="21"/>
    <s v="Employee"/>
    <s v="5"/>
    <s v="ORCL IN OSSI"/>
    <s v="504826 - 1CV:GSC-Business Analytics - PaaS"/>
    <s v="09B1"/>
    <s v="Y"/>
    <s v="Y"/>
    <s v="Unrecognized"/>
    <n v="4"/>
    <s v="AED"/>
    <n v="68.33"/>
    <n v="660.13"/>
    <n v="273.3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988084"/>
    <s v="1532905105:1"/>
    <s v="1.04.00"/>
    <s v="FP Labor - Remote Services Ctr"/>
    <s v="Labor"/>
    <s v="CO-C"/>
    <d v="2026-03-27T00:00:00"/>
    <x v="8"/>
    <x v="23"/>
    <s v="Employee"/>
    <s v="7"/>
    <s v="ORCL IN OSSI"/>
    <s v="504736 - 0TV:GSC-SCM Cloud"/>
    <s v="009B"/>
    <s v="Y"/>
    <s v="Y"/>
    <s v="Unrecognized"/>
    <n v="8"/>
    <s v="AED"/>
    <n v="109.79"/>
    <n v="813.38"/>
    <n v="878.3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6984102"/>
    <s v="1532243531:1"/>
    <s v="1.04.00"/>
    <s v="FP Labor - Remote Services Ctr"/>
    <s v="Labor"/>
    <s v="CO-C"/>
    <d v="2026-03-27T00:00:00"/>
    <x v="8"/>
    <x v="21"/>
    <s v="Employee"/>
    <s v="5"/>
    <s v="ORCL IN OSSI"/>
    <s v="504826 - 1CV:GSC-Business Analytics - PaaS"/>
    <s v="09B1"/>
    <s v="Y"/>
    <s v="Y"/>
    <s v="Unrecognized"/>
    <n v="4"/>
    <s v="AED"/>
    <n v="68.33"/>
    <n v="660.13"/>
    <n v="273.3"/>
    <n v="0"/>
    <n v="2640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589"/>
    <s v="3029651845965471"/>
    <s v="1.04.00"/>
    <s v="FP Labor - Remote Services Ctr"/>
    <s v="Labor"/>
    <s v="CO-C"/>
    <d v="2026-03-30T00:00:00"/>
    <x v="9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98964"/>
    <s v="1532281415:3"/>
    <s v="1.04.00"/>
    <s v="FP Labor - Remote Services Ctr"/>
    <s v="Labor"/>
    <s v="CO-C"/>
    <d v="2026-03-30T00:00:00"/>
    <x v="9"/>
    <x v="20"/>
    <s v="Employee"/>
    <s v="6"/>
    <s v="ORCL IN OSSI"/>
    <s v="504826 - 1CV:GSC-Business Analytics - PaaS"/>
    <s v="09B3"/>
    <s v="Y"/>
    <s v="Y"/>
    <s v="Unrecognized"/>
    <n v="4"/>
    <s v="AED"/>
    <n v="109.81"/>
    <n v="754.44"/>
    <n v="439.2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17736"/>
    <s v="1532589755:2"/>
    <s v="1.04.00"/>
    <s v="FP Labor - Remote Services Ctr"/>
    <s v="Labor"/>
    <s v="CO-C"/>
    <d v="2026-03-30T00:00:00"/>
    <x v="9"/>
    <x v="21"/>
    <s v="Employee"/>
    <s v="5"/>
    <s v="ORCL IN OSSI"/>
    <s v="504826 - 1CV:GSC-Business Analytics - Paa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588"/>
    <s v="3029651845965491"/>
    <s v="1.04.00"/>
    <s v="FP Labor - Remote Services Ctr"/>
    <s v="Labor"/>
    <s v="CO-C"/>
    <d v="2026-03-31T00:00:00"/>
    <x v="9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34471"/>
    <s v="1532281418:3"/>
    <s v="1.04.00"/>
    <s v="FP Labor - Remote Services Ctr"/>
    <s v="Labor"/>
    <s v="CO-C"/>
    <d v="2026-03-31T00:00:00"/>
    <x v="9"/>
    <x v="20"/>
    <s v="Employee"/>
    <s v="6"/>
    <s v="ORCL IN OSSI"/>
    <s v="504826 - 1CV:GSC-Business Analytics - PaaS"/>
    <s v="09B3"/>
    <s v="Y"/>
    <s v="Y"/>
    <s v="Unrecognized"/>
    <n v="4"/>
    <s v="AED"/>
    <n v="109.81"/>
    <n v="754.44"/>
    <n v="439.2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88635"/>
    <s v="1532589730:2"/>
    <s v="1.04.00"/>
    <s v="FP Labor - Remote Services Ctr"/>
    <s v="Labor"/>
    <s v="CO-C"/>
    <d v="2026-03-31T00:00:00"/>
    <x v="9"/>
    <x v="21"/>
    <s v="Employee"/>
    <s v="5"/>
    <s v="ORCL IN OSSI"/>
    <s v="504826 - 1CV:GSC-Business Analytics - Paa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587"/>
    <s v="3029651845965511"/>
    <s v="1.04.00"/>
    <s v="FP Labor - Remote Services Ctr"/>
    <s v="Labor"/>
    <s v="CO-C"/>
    <d v="2026-04-01T00:00:00"/>
    <x v="9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466572"/>
    <s v="1532281421:3"/>
    <s v="1.04.00"/>
    <s v="FP Labor - Remote Services Ctr"/>
    <s v="Labor"/>
    <s v="CO-C"/>
    <d v="2026-04-01T00:00:00"/>
    <x v="9"/>
    <x v="20"/>
    <s v="Employee"/>
    <s v="6"/>
    <s v="ORCL IN OSSI"/>
    <s v="504826 - 1CV:GSC-Business Analytics - PaaS"/>
    <s v="09B3"/>
    <s v="Y"/>
    <s v="Y"/>
    <s v="Unrecognized"/>
    <n v="4"/>
    <s v="AED"/>
    <n v="109.81"/>
    <n v="754.44"/>
    <n v="439.2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974"/>
    <s v="3029640524108122"/>
    <s v="1.04.00"/>
    <s v="FP Labor - Remote Services Ctr"/>
    <s v="Labor"/>
    <s v="CO-C"/>
    <d v="2026-04-01T00:00:00"/>
    <x v="9"/>
    <x v="22"/>
    <s v="Billable Contractor"/>
    <m/>
    <s v="ORCL EG"/>
    <s v="509485 - 73M: EMEA Business Analytics - PaaS"/>
    <s v="008U"/>
    <s v="Y"/>
    <s v="Y"/>
    <s v="Unrecognized"/>
    <n v="7"/>
    <s v="AED"/>
    <n v="68.87"/>
    <n v="542.25"/>
    <n v="482.08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468442"/>
    <s v="1532589735:2"/>
    <s v="1.04.00"/>
    <s v="FP Labor - Remote Services Ctr"/>
    <s v="Labor"/>
    <s v="CO-C"/>
    <d v="2026-04-01T00:00:00"/>
    <x v="9"/>
    <x v="21"/>
    <s v="Employee"/>
    <s v="5"/>
    <s v="ORCL IN OSSI"/>
    <s v="504826 - 1CV:GSC-Business Analytics - Paa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585"/>
    <s v="3029651845965541"/>
    <s v="1.04.00"/>
    <s v="FP Labor - Remote Services Ctr"/>
    <s v="Labor"/>
    <s v="CO-C"/>
    <d v="2026-04-02T00:00:00"/>
    <x v="9"/>
    <x v="16"/>
    <s v="Billable Contractor"/>
    <m/>
    <s v="ORCL EG"/>
    <s v="509485 - 73M: EMEA Business Analytics - P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469866"/>
    <s v="1532281424:3"/>
    <s v="1.04.00"/>
    <s v="FP Labor - Remote Services Ctr"/>
    <s v="Labor"/>
    <s v="CO-C"/>
    <d v="2026-04-02T00:00:00"/>
    <x v="9"/>
    <x v="20"/>
    <s v="Employee"/>
    <s v="6"/>
    <s v="ORCL IN OSSI"/>
    <s v="504826 - 1CV:GSC-Business Analytics - PaaS"/>
    <s v="09B3"/>
    <s v="Y"/>
    <s v="Y"/>
    <s v="Unrecognized"/>
    <n v="4"/>
    <s v="AED"/>
    <n v="109.81"/>
    <n v="754.44"/>
    <n v="439.2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333973"/>
    <s v="3029640524108142"/>
    <s v="1.04.00"/>
    <s v="FP Labor - Remote Services Ctr"/>
    <s v="Labor"/>
    <s v="CO-C"/>
    <d v="2026-04-02T00:00:00"/>
    <x v="9"/>
    <x v="22"/>
    <s v="Billable Contractor"/>
    <m/>
    <s v="ORCL EG"/>
    <s v="509485 - 73M: EMEA Business Analytics - PaaS"/>
    <s v="008U"/>
    <s v="Y"/>
    <s v="Y"/>
    <s v="Unrecognized"/>
    <n v="7"/>
    <s v="AED"/>
    <n v="68.87"/>
    <n v="542.25"/>
    <n v="482.08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469828"/>
    <s v="1532589743:2"/>
    <s v="1.04.00"/>
    <s v="FP Labor - Remote Services Ctr"/>
    <s v="Labor"/>
    <s v="CO-C"/>
    <d v="2026-04-02T00:00:00"/>
    <x v="9"/>
    <x v="21"/>
    <s v="Employee"/>
    <s v="5"/>
    <s v="ORCL IN OSSI"/>
    <s v="504826 - 1CV:GSC-Business Analytics - Paa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474288"/>
    <s v="3029642609395521"/>
    <s v="1.04.00"/>
    <s v="FP Labor - Remote Services Ctr"/>
    <s v="Labor"/>
    <s v="CO-C"/>
    <d v="2026-04-03T00:00:00"/>
    <x v="9"/>
    <x v="2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514027"/>
    <s v="1532281426:3"/>
    <s v="1.04.00"/>
    <s v="FP Labor - Remote Services Ctr"/>
    <s v="Labor"/>
    <s v="CO-C"/>
    <d v="2026-04-03T00:00:00"/>
    <x v="9"/>
    <x v="20"/>
    <s v="Employee"/>
    <s v="6"/>
    <s v="ORCL IN OSSI"/>
    <s v="504826 - 1CV:GSC-Business Analytics - PaaS"/>
    <s v="09B3"/>
    <s v="Y"/>
    <s v="Y"/>
    <s v="Unrecognized"/>
    <n v="4"/>
    <s v="AED"/>
    <n v="109.81"/>
    <n v="754.44"/>
    <n v="439.2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512710"/>
    <s v="1533016787:1"/>
    <s v="1.04.00"/>
    <s v="FP Labor - Remote Services Ctr"/>
    <s v="Labor"/>
    <s v="CO-C"/>
    <d v="2026-04-03T00:00:00"/>
    <x v="9"/>
    <x v="23"/>
    <s v="Employee"/>
    <s v="7"/>
    <s v="ORCL IN OSSI"/>
    <s v="504736 - 0TV:GSC-SCM Cloud"/>
    <s v="009B"/>
    <s v="Y"/>
    <s v="Y"/>
    <s v="Unrecognized"/>
    <n v="8"/>
    <s v="AED"/>
    <n v="109.81"/>
    <n v="813.38"/>
    <n v="878.5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573407"/>
    <s v="1532589749:2"/>
    <s v="1.04.00"/>
    <s v="FP Labor - Remote Services Ctr"/>
    <s v="Labor"/>
    <s v="CO-C"/>
    <d v="2026-04-03T00:00:00"/>
    <x v="9"/>
    <x v="21"/>
    <s v="Employee"/>
    <s v="5"/>
    <s v="ORCL IN OSSI"/>
    <s v="504826 - 1CV:GSC-Business Analytics - Paa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839"/>
    <s v="3029651843636261"/>
    <s v="1.04.00"/>
    <s v="FP Labor - Remote Services Ctr"/>
    <s v="Labor"/>
    <s v="CO-C"/>
    <d v="2026-04-06T00:00:00"/>
    <x v="10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38304"/>
    <s v="1532281878:2"/>
    <s v="1.04.00"/>
    <s v="FP Labor - Remote Services Ctr"/>
    <s v="Labor"/>
    <s v="CO-C"/>
    <d v="2026-04-06T00:00:00"/>
    <x v="10"/>
    <x v="20"/>
    <s v="Employee"/>
    <s v="6"/>
    <s v="ORCL IN OSSI"/>
    <s v="504826 - 1CV:GSC-Business Analytics - PaaS"/>
    <s v="09B3"/>
    <s v="Y"/>
    <s v="Y"/>
    <s v="Unrecognized"/>
    <n v="4"/>
    <s v="AED"/>
    <n v="109.81"/>
    <n v="754.44"/>
    <n v="439.2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45973"/>
    <s v="1532589824:2"/>
    <s v="1.04.00"/>
    <s v="FP Labor - Remote Services Ctr"/>
    <s v="Labor"/>
    <s v="CO-C"/>
    <d v="2026-04-06T00:00:00"/>
    <x v="10"/>
    <x v="21"/>
    <s v="Employee"/>
    <s v="5"/>
    <s v="ORCL IN OSSI"/>
    <s v="504826 - 1CV:GSC-Business Analytics - Paa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844"/>
    <s v="3029651843636281"/>
    <s v="1.04.00"/>
    <s v="FP Labor - Remote Services Ctr"/>
    <s v="Labor"/>
    <s v="CO-C"/>
    <d v="2026-04-07T00:00:00"/>
    <x v="10"/>
    <x v="16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98391"/>
    <s v="1532281881:2"/>
    <s v="1.04.00"/>
    <s v="FP Labor - Remote Services Ctr"/>
    <s v="Labor"/>
    <s v="CO-C"/>
    <d v="2026-04-07T00:00:00"/>
    <x v="10"/>
    <x v="20"/>
    <s v="Employee"/>
    <s v="6"/>
    <s v="ORCL IN OSSI"/>
    <s v="504826 - 1CV:GSC-Business Analytics - PaaS"/>
    <s v="09B3"/>
    <s v="Y"/>
    <s v="Y"/>
    <s v="Unrecognized"/>
    <n v="4"/>
    <s v="AED"/>
    <n v="110.87"/>
    <n v="754.44"/>
    <n v="443.4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797053"/>
    <s v="1532589828:2"/>
    <s v="1.04.00"/>
    <s v="FP Labor - Remote Services Ctr"/>
    <s v="Labor"/>
    <s v="CO-C"/>
    <d v="2026-04-07T00:00:00"/>
    <x v="10"/>
    <x v="21"/>
    <s v="Employee"/>
    <s v="5"/>
    <s v="ORCL IN OSSI"/>
    <s v="504826 - 1CV:GSC-Business Analytics - PaaS"/>
    <s v="09B1"/>
    <s v="Y"/>
    <s v="Y"/>
    <s v="Unrecognized"/>
    <n v="8"/>
    <s v="AED"/>
    <n v="69"/>
    <n v="660.13"/>
    <n v="551.96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843"/>
    <s v="3029651843636301"/>
    <s v="1.04.00"/>
    <s v="FP Labor - Remote Services Ctr"/>
    <s v="Labor"/>
    <s v="CO-C"/>
    <d v="2026-04-08T00:00:00"/>
    <x v="10"/>
    <x v="16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836376"/>
    <s v="1532281884:2"/>
    <s v="1.04.00"/>
    <s v="FP Labor - Remote Services Ctr"/>
    <s v="Labor"/>
    <s v="CO-C"/>
    <d v="2026-04-08T00:00:00"/>
    <x v="10"/>
    <x v="20"/>
    <s v="Employee"/>
    <s v="6"/>
    <s v="ORCL IN OSSI"/>
    <s v="504826 - 1CV:GSC-Business Analytics - PaaS"/>
    <s v="09B3"/>
    <s v="Y"/>
    <s v="Y"/>
    <s v="Unrecognized"/>
    <n v="4"/>
    <s v="AED"/>
    <n v="110.94"/>
    <n v="754.44"/>
    <n v="443.7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816577"/>
    <s v="3029640525082322"/>
    <s v="1.04.00"/>
    <s v="FP Labor - Remote Services Ctr"/>
    <s v="Labor"/>
    <s v="CO-C"/>
    <d v="2026-04-08T00:00:00"/>
    <x v="10"/>
    <x v="22"/>
    <s v="Billable Contractor"/>
    <m/>
    <s v="ORCL EG"/>
    <s v="509485 - 73M: EMEA Business Analytics - PaaS"/>
    <s v="008U"/>
    <s v="Y"/>
    <s v="Y"/>
    <s v="Unrecognized"/>
    <n v="7"/>
    <s v="AED"/>
    <n v="68.86"/>
    <m/>
    <n v="482.02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836220"/>
    <s v="1532589833:2"/>
    <s v="1.04.00"/>
    <s v="FP Labor - Remote Services Ctr"/>
    <s v="Labor"/>
    <s v="CO-C"/>
    <d v="2026-04-08T00:00:00"/>
    <x v="10"/>
    <x v="21"/>
    <s v="Employee"/>
    <s v="5"/>
    <s v="ORCL IN OSSI"/>
    <s v="504826 - 1CV:GSC-Business Analytics - PaaS"/>
    <s v="09B1"/>
    <s v="Y"/>
    <s v="Y"/>
    <s v="Unrecognized"/>
    <n v="8"/>
    <s v="AED"/>
    <n v="69.040000000000006"/>
    <n v="660.13"/>
    <n v="552.3300000000000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841"/>
    <s v="3029651843636331"/>
    <s v="1.04.00"/>
    <s v="FP Labor - Remote Services Ctr"/>
    <s v="Labor"/>
    <s v="CO-C"/>
    <d v="2026-04-09T00:00:00"/>
    <x v="10"/>
    <x v="16"/>
    <s v="Billable Contractor"/>
    <m/>
    <s v="ORCL EG"/>
    <s v="509485 - 73M: EMEA Business Analytics - PaaS"/>
    <s v="008U"/>
    <s v="Y"/>
    <s v="Y"/>
    <s v="Unrecognized"/>
    <n v="4"/>
    <s v="AED"/>
    <n v="68.86"/>
    <m/>
    <n v="275.44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915407"/>
    <s v="1532281887:2"/>
    <s v="1.04.00"/>
    <s v="FP Labor - Remote Services Ctr"/>
    <s v="Labor"/>
    <s v="CO-C"/>
    <d v="2026-04-09T00:00:00"/>
    <x v="10"/>
    <x v="20"/>
    <s v="Employee"/>
    <s v="6"/>
    <s v="ORCL IN OSSI"/>
    <s v="504826 - 1CV:GSC-Business Analytics - PaaS"/>
    <s v="09B3"/>
    <s v="Y"/>
    <s v="Y"/>
    <s v="Unrecognized"/>
    <n v="4"/>
    <s v="AED"/>
    <n v="111.44"/>
    <n v="754.44"/>
    <n v="445.7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880464"/>
    <s v="3029640525082342"/>
    <s v="1.04.00"/>
    <s v="FP Labor - Remote Services Ctr"/>
    <s v="Labor"/>
    <s v="CO-C"/>
    <d v="2026-04-09T00:00:00"/>
    <x v="10"/>
    <x v="22"/>
    <s v="Billable Contractor"/>
    <m/>
    <s v="ORCL EG"/>
    <s v="509485 - 73M: EMEA Business Analytics - PaaS"/>
    <s v="008U"/>
    <s v="Y"/>
    <s v="Y"/>
    <s v="Unrecognized"/>
    <n v="7"/>
    <s v="AED"/>
    <n v="68.86"/>
    <m/>
    <n v="482.02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913053"/>
    <s v="1532589841:2"/>
    <s v="1.04.00"/>
    <s v="FP Labor - Remote Services Ctr"/>
    <s v="Labor"/>
    <s v="CO-C"/>
    <d v="2026-04-09T00:00:00"/>
    <x v="10"/>
    <x v="21"/>
    <s v="Employee"/>
    <s v="5"/>
    <s v="ORCL IN OSSI"/>
    <s v="504826 - 1CV:GSC-Business Analytics - PaaS"/>
    <s v="09B1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962658"/>
    <s v="3029642608989801"/>
    <s v="1.04.00"/>
    <s v="FP Labor - Remote Services Ctr"/>
    <s v="Labor"/>
    <s v="CO-C"/>
    <d v="2026-04-10T00:00:00"/>
    <x v="10"/>
    <x v="24"/>
    <s v="Billable Contractor"/>
    <m/>
    <s v="ORCL EG"/>
    <s v="502416 - 3WP-EMEA Delivery Middleware - I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955315"/>
    <s v="1532281889:2"/>
    <s v="1.04.00"/>
    <s v="FP Labor - Remote Services Ctr"/>
    <s v="Labor"/>
    <s v="CO-C"/>
    <d v="2026-04-10T00:00:00"/>
    <x v="10"/>
    <x v="20"/>
    <s v="Employee"/>
    <s v="6"/>
    <s v="ORCL IN OSSI"/>
    <s v="504826 - 1CV:GSC-Business Analytics - PaaS"/>
    <s v="09B3"/>
    <s v="Y"/>
    <s v="Y"/>
    <s v="Unrecognized"/>
    <n v="4"/>
    <s v="AED"/>
    <n v="111.44"/>
    <n v="754.44"/>
    <n v="445.7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7951826"/>
    <s v="1533016834:1"/>
    <s v="1.04.00"/>
    <s v="FP Labor - Remote Services Ctr"/>
    <s v="Labor"/>
    <s v="CO-C"/>
    <d v="2026-04-10T00:00:00"/>
    <x v="10"/>
    <x v="23"/>
    <s v="Employee"/>
    <s v="7"/>
    <s v="ORCL IN OSSI"/>
    <s v="504736 - 0TV:GSC-SCM Cloud"/>
    <s v="009B"/>
    <s v="Y"/>
    <s v="Y"/>
    <s v="Unrecognized"/>
    <n v="8"/>
    <s v="AED"/>
    <n v="111.44"/>
    <n v="813.38"/>
    <n v="891.5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023602"/>
    <s v="1532589847:2"/>
    <s v="1.04.00"/>
    <s v="FP Labor - Remote Services Ctr"/>
    <s v="Labor"/>
    <s v="CO-C"/>
    <d v="2026-04-10T00:00:00"/>
    <x v="10"/>
    <x v="21"/>
    <s v="Employee"/>
    <s v="5"/>
    <s v="ORCL IN OSSI"/>
    <s v="504826 - 1CV:GSC-Business Analytics - PaaS"/>
    <s v="09B1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837"/>
    <s v="3029651842440321"/>
    <s v="1.04.00"/>
    <s v="FP Labor - Remote Services Ctr"/>
    <s v="Labor"/>
    <s v="CO-C"/>
    <d v="2026-04-13T00:00:00"/>
    <x v="11"/>
    <x v="16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188717"/>
    <s v="1532282049:2"/>
    <s v="1.04.00"/>
    <s v="FP Labor - Remote Services Ctr"/>
    <s v="Labor"/>
    <s v="CO-C"/>
    <d v="2026-04-13T00:00:00"/>
    <x v="11"/>
    <x v="20"/>
    <s v="Employee"/>
    <s v="6"/>
    <s v="ORCL IN OSSI"/>
    <s v="504826 - 1CV:GSC-Business Analytics - PaaS"/>
    <s v="09B3"/>
    <s v="Y"/>
    <s v="Y"/>
    <s v="Unrecognized"/>
    <n v="4"/>
    <s v="AED"/>
    <n v="111.26"/>
    <n v="754.44"/>
    <n v="445.0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233175"/>
    <s v="1532589867:2"/>
    <s v="1.04.00"/>
    <s v="FP Labor - Remote Services Ctr"/>
    <s v="Labor"/>
    <s v="CO-C"/>
    <d v="2026-04-13T00:00:00"/>
    <x v="11"/>
    <x v="21"/>
    <s v="Employee"/>
    <s v="5"/>
    <s v="ORCL IN OSSI"/>
    <s v="504826 - 1CV:GSC-Business Analytics - PaaS"/>
    <s v="09B1"/>
    <s v="Y"/>
    <s v="Y"/>
    <s v="Unrecognized"/>
    <n v="8"/>
    <s v="AED"/>
    <n v="69.239999999999995"/>
    <n v="660.13"/>
    <n v="553.9299999999999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797"/>
    <s v="3029651842440341"/>
    <s v="1.04.00"/>
    <s v="FP Labor - Remote Services Ctr"/>
    <s v="Labor"/>
    <s v="CO-C"/>
    <d v="2026-04-14T00:00:00"/>
    <x v="11"/>
    <x v="16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796"/>
    <s v="3029651842440361"/>
    <s v="1.04.00"/>
    <s v="FP Labor - Remote Services Ctr"/>
    <s v="Labor"/>
    <s v="CO-C"/>
    <d v="2026-04-15T00:00:00"/>
    <x v="11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305056"/>
    <s v="1532282055:2"/>
    <s v="1.04.00"/>
    <s v="FP Labor - Remote Services Ctr"/>
    <s v="Labor"/>
    <s v="CO-C"/>
    <d v="2026-04-15T00:00:00"/>
    <x v="11"/>
    <x v="20"/>
    <s v="Employee"/>
    <s v="6"/>
    <s v="ORCL IN OSSI"/>
    <s v="504826 - 1CV:GSC-Business Analytics - PaaS"/>
    <s v="09B3"/>
    <s v="Y"/>
    <s v="Y"/>
    <s v="Unrecognized"/>
    <n v="4"/>
    <s v="AED"/>
    <n v="110.48"/>
    <n v="754.44"/>
    <n v="441.9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310923"/>
    <s v="3029640523393662"/>
    <s v="1.04.00"/>
    <s v="FP Labor - Remote Services Ctr"/>
    <s v="Labor"/>
    <s v="CO-C"/>
    <d v="2026-04-15T00:00:00"/>
    <x v="11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362713"/>
    <s v="1532589876:2"/>
    <s v="1.04.00"/>
    <s v="FP Labor - Remote Services Ctr"/>
    <s v="Labor"/>
    <s v="CO-C"/>
    <d v="2026-04-15T00:00:00"/>
    <x v="11"/>
    <x v="21"/>
    <s v="Employee"/>
    <s v="5"/>
    <s v="ORCL IN OSSI"/>
    <s v="504826 - 1CV:GSC-Business Analytics - PaaS"/>
    <s v="09B1"/>
    <s v="Y"/>
    <s v="Y"/>
    <s v="Unrecognized"/>
    <n v="8"/>
    <s v="AED"/>
    <n v="68.760000000000005"/>
    <n v="660.13"/>
    <n v="550.0599999999999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794"/>
    <s v="3029651842440391"/>
    <s v="1.04.00"/>
    <s v="FP Labor - Remote Services Ctr"/>
    <s v="Labor"/>
    <s v="CO-C"/>
    <d v="2026-04-16T00:00:00"/>
    <x v="11"/>
    <x v="16"/>
    <s v="Billable Contractor"/>
    <m/>
    <s v="ORCL EG"/>
    <s v="509485 - 73M: EMEA Business Analytics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406986"/>
    <s v="1532282058:2"/>
    <s v="1.04.00"/>
    <s v="FP Labor - Remote Services Ctr"/>
    <s v="Labor"/>
    <s v="CO-C"/>
    <d v="2026-04-16T00:00:00"/>
    <x v="11"/>
    <x v="20"/>
    <s v="Employee"/>
    <s v="6"/>
    <s v="ORCL IN OSSI"/>
    <s v="504826 - 1CV:GSC-Business Analytics - PaaS"/>
    <s v="09B3"/>
    <s v="Y"/>
    <s v="Y"/>
    <s v="Unrecognized"/>
    <n v="4"/>
    <s v="AED"/>
    <n v="110.49"/>
    <n v="754.44"/>
    <n v="441.9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390752"/>
    <s v="3029640523393682"/>
    <s v="1.04.00"/>
    <s v="FP Labor - Remote Services Ctr"/>
    <s v="Labor"/>
    <s v="CO-C"/>
    <d v="2026-04-16T00:00:00"/>
    <x v="11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446546"/>
    <s v="1532589884:2"/>
    <s v="1.04.00"/>
    <s v="FP Labor - Remote Services Ctr"/>
    <s v="Labor"/>
    <s v="CO-C"/>
    <d v="2026-04-16T00:00:00"/>
    <x v="11"/>
    <x v="21"/>
    <s v="Employee"/>
    <s v="5"/>
    <s v="ORCL IN OSSI"/>
    <s v="504826 - 1CV:GSC-Business Analytics - PaaS"/>
    <s v="09B1"/>
    <s v="Y"/>
    <s v="Y"/>
    <s v="Unrecognized"/>
    <n v="8"/>
    <s v="AED"/>
    <n v="68.760000000000005"/>
    <n v="660.13"/>
    <n v="550.1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429487"/>
    <s v="3029642610909071"/>
    <s v="1.04.00"/>
    <s v="FP Labor - Remote Services Ctr"/>
    <s v="Labor"/>
    <s v="CO-C"/>
    <d v="2026-04-17T00:00:00"/>
    <x v="11"/>
    <x v="2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499873"/>
    <s v="1532282060:2"/>
    <s v="1.04.00"/>
    <s v="FP Labor - Remote Services Ctr"/>
    <s v="Labor"/>
    <s v="CO-C"/>
    <d v="2026-04-17T00:00:00"/>
    <x v="11"/>
    <x v="20"/>
    <s v="Employee"/>
    <s v="6"/>
    <s v="ORCL IN OSSI"/>
    <s v="504826 - 1CV:GSC-Business Analytics - PaaS"/>
    <s v="09B3"/>
    <s v="Y"/>
    <s v="Y"/>
    <s v="Unrecognized"/>
    <n v="4"/>
    <s v="AED"/>
    <n v="110.7"/>
    <n v="754.44"/>
    <n v="442.8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494261"/>
    <s v="1533016847:1"/>
    <s v="1.04.00"/>
    <s v="FP Labor - Remote Services Ctr"/>
    <s v="Labor"/>
    <s v="CO-C"/>
    <d v="2026-04-17T00:00:00"/>
    <x v="11"/>
    <x v="23"/>
    <s v="Employee"/>
    <s v="7"/>
    <s v="ORCL IN OSSI"/>
    <s v="504736 - 0TV:GSC-SCM Cloud"/>
    <s v="009B"/>
    <s v="Y"/>
    <s v="Y"/>
    <s v="Unrecognized"/>
    <n v="8"/>
    <s v="AED"/>
    <n v="110.7"/>
    <n v="813.38"/>
    <n v="885.6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562562"/>
    <s v="1532589890:2"/>
    <s v="1.04.00"/>
    <s v="FP Labor - Remote Services Ctr"/>
    <s v="Labor"/>
    <s v="CO-C"/>
    <d v="2026-04-17T00:00:00"/>
    <x v="11"/>
    <x v="21"/>
    <s v="Employee"/>
    <s v="5"/>
    <s v="ORCL IN OSSI"/>
    <s v="504826 - 1CV:GSC-Business Analytics - PaaS"/>
    <s v="09B1"/>
    <s v="Y"/>
    <s v="Y"/>
    <s v="Unrecognized"/>
    <n v="8"/>
    <s v="AED"/>
    <n v="68.89"/>
    <n v="660.13"/>
    <n v="551.1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814"/>
    <s v="3029651846112871"/>
    <s v="1.04.00"/>
    <s v="FP Labor - Remote Services Ctr"/>
    <s v="Labor"/>
    <s v="CO-C"/>
    <d v="2026-04-20T00:00:00"/>
    <x v="12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778755"/>
    <s v="1532288124:2"/>
    <s v="1.04.00"/>
    <s v="FP Labor - Remote Services Ctr"/>
    <s v="Labor"/>
    <s v="CO-C"/>
    <d v="2026-04-20T00:00:00"/>
    <x v="12"/>
    <x v="20"/>
    <s v="Employee"/>
    <s v="6"/>
    <s v="ORCL IN OSSI"/>
    <s v="504826 - 1CV:GSC-Business Analytics - PaaS"/>
    <s v="09B3"/>
    <s v="Y"/>
    <s v="Y"/>
    <s v="Unrecognized"/>
    <n v="4"/>
    <s v="AED"/>
    <n v="111.03"/>
    <n v="754.44"/>
    <n v="444.1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46072"/>
    <s v="1536616999:2"/>
    <s v="1.04.00"/>
    <s v="FP Labor - Remote Services Ctr"/>
    <s v="Labor"/>
    <s v="CO-C"/>
    <d v="2026-04-20T00:00:00"/>
    <x v="12"/>
    <x v="25"/>
    <s v="Employee"/>
    <s v="2"/>
    <s v="ORCL IN OSSI"/>
    <s v="504826 - 1CV:GSC-Business Analytics - PaaS"/>
    <s v="009B"/>
    <s v="Y"/>
    <s v="Y"/>
    <s v="Unrecognized"/>
    <n v="8"/>
    <s v="AED"/>
    <n v="36.619999999999997"/>
    <n v="353.64"/>
    <n v="292.9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779383"/>
    <s v="1532589928:2"/>
    <s v="1.04.00"/>
    <s v="FP Labor - Remote Services Ctr"/>
    <s v="Labor"/>
    <s v="CO-C"/>
    <d v="2026-04-20T00:00:00"/>
    <x v="12"/>
    <x v="21"/>
    <s v="Employee"/>
    <s v="5"/>
    <s v="ORCL IN OSSI"/>
    <s v="504826 - 1CV:GSC-Business Analytics - PaaS"/>
    <s v="09B1"/>
    <s v="Y"/>
    <s v="Y"/>
    <s v="Unrecognized"/>
    <n v="8"/>
    <s v="AED"/>
    <n v="69.099999999999994"/>
    <n v="660.13"/>
    <n v="552.77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813"/>
    <s v="3029651846112891"/>
    <s v="1.04.00"/>
    <s v="FP Labor - Remote Services Ctr"/>
    <s v="Labor"/>
    <s v="CO-C"/>
    <d v="2026-04-21T00:00:00"/>
    <x v="12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820244"/>
    <s v="1532288127:2"/>
    <s v="1.04.00"/>
    <s v="FP Labor - Remote Services Ctr"/>
    <s v="Labor"/>
    <s v="CO-C"/>
    <d v="2026-04-21T00:00:00"/>
    <x v="12"/>
    <x v="20"/>
    <s v="Employee"/>
    <s v="6"/>
    <s v="ORCL IN OSSI"/>
    <s v="504826 - 1CV:GSC-Business Analytics - PaaS"/>
    <s v="09B3"/>
    <s v="Y"/>
    <s v="Y"/>
    <s v="Unrecognized"/>
    <n v="4"/>
    <s v="AED"/>
    <n v="110.8"/>
    <n v="754.44"/>
    <n v="443.1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18278"/>
    <s v="1536616998:2"/>
    <s v="1.04.00"/>
    <s v="FP Labor - Remote Services Ctr"/>
    <s v="Labor"/>
    <s v="CO-C"/>
    <d v="2026-04-21T00:00:00"/>
    <x v="12"/>
    <x v="25"/>
    <s v="Employee"/>
    <s v="2"/>
    <s v="ORCL IN OSSI"/>
    <s v="504826 - 1CV:GSC-Business Analytics - PaaS"/>
    <s v="009B"/>
    <s v="Y"/>
    <s v="Y"/>
    <s v="Unrecognized"/>
    <n v="8"/>
    <s v="AED"/>
    <n v="36.54"/>
    <n v="353.64"/>
    <n v="292.31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820404"/>
    <s v="1532589932:2"/>
    <s v="1.04.00"/>
    <s v="FP Labor - Remote Services Ctr"/>
    <s v="Labor"/>
    <s v="CO-C"/>
    <d v="2026-04-21T00:00:00"/>
    <x v="12"/>
    <x v="21"/>
    <s v="Employee"/>
    <s v="5"/>
    <s v="ORCL IN OSSI"/>
    <s v="504826 - 1CV:GSC-Business Analytics - PaaS"/>
    <s v="09B1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812"/>
    <s v="3029651846112911"/>
    <s v="1.04.00"/>
    <s v="FP Labor - Remote Services Ctr"/>
    <s v="Labor"/>
    <s v="CO-C"/>
    <d v="2026-04-22T00:00:00"/>
    <x v="12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879677"/>
    <s v="1532288130:2"/>
    <s v="1.04.00"/>
    <s v="FP Labor - Remote Services Ctr"/>
    <s v="Labor"/>
    <s v="CO-C"/>
    <d v="2026-04-22T00:00:00"/>
    <x v="12"/>
    <x v="20"/>
    <s v="Employee"/>
    <s v="6"/>
    <s v="ORCL IN OSSI"/>
    <s v="504826 - 1CV:GSC-Business Analytics - PaaS"/>
    <s v="09B3"/>
    <s v="Y"/>
    <s v="Y"/>
    <s v="Unrecognized"/>
    <n v="4"/>
    <s v="AED"/>
    <n v="110.8"/>
    <n v="754.44"/>
    <n v="443.1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49252"/>
    <s v="1536616997:2"/>
    <s v="1.04.00"/>
    <s v="FP Labor - Remote Services Ctr"/>
    <s v="Labor"/>
    <s v="CO-C"/>
    <d v="2026-04-22T00:00:00"/>
    <x v="12"/>
    <x v="25"/>
    <s v="Employee"/>
    <s v="2"/>
    <s v="ORCL IN OSSI"/>
    <s v="504826 - 1CV:GSC-Business Analytics - PaaS"/>
    <s v="009B"/>
    <s v="Y"/>
    <s v="Y"/>
    <s v="Unrecognized"/>
    <n v="8"/>
    <s v="AED"/>
    <n v="36.54"/>
    <n v="353.64"/>
    <n v="292.31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842815"/>
    <s v="3029640523350142"/>
    <s v="1.04.00"/>
    <s v="FP Labor - Remote Services Ctr"/>
    <s v="Labor"/>
    <s v="CO-C"/>
    <d v="2026-04-22T00:00:00"/>
    <x v="12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880160"/>
    <s v="1532589937:2"/>
    <s v="1.04.00"/>
    <s v="FP Labor - Remote Services Ctr"/>
    <s v="Labor"/>
    <s v="CO-C"/>
    <d v="2026-04-22T00:00:00"/>
    <x v="12"/>
    <x v="21"/>
    <s v="Employee"/>
    <s v="5"/>
    <s v="ORCL IN OSSI"/>
    <s v="504826 - 1CV:GSC-Business Analytics - PaaS"/>
    <s v="09B1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790"/>
    <s v="3029651846112941"/>
    <s v="1.04.00"/>
    <s v="FP Labor - Remote Services Ctr"/>
    <s v="Labor"/>
    <s v="CO-C"/>
    <d v="2026-04-23T00:00:00"/>
    <x v="12"/>
    <x v="16"/>
    <s v="Billable Contractor"/>
    <m/>
    <s v="ORCL EG"/>
    <s v="509485 - 73M: EMEA Business Analytics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962635"/>
    <s v="1532288133:2"/>
    <s v="1.04.00"/>
    <s v="FP Labor - Remote Services Ctr"/>
    <s v="Labor"/>
    <s v="CO-C"/>
    <d v="2026-04-23T00:00:00"/>
    <x v="12"/>
    <x v="20"/>
    <s v="Employee"/>
    <s v="6"/>
    <s v="ORCL IN OSSI"/>
    <s v="504826 - 1CV:GSC-Business Analytics - PaaS"/>
    <s v="09B3"/>
    <s v="Y"/>
    <s v="Y"/>
    <s v="Unrecognized"/>
    <n v="4"/>
    <s v="AED"/>
    <n v="109.99"/>
    <n v="754.44"/>
    <n v="439.9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49452"/>
    <s v="1536616996:2"/>
    <s v="1.04.00"/>
    <s v="FP Labor - Remote Services Ctr"/>
    <s v="Labor"/>
    <s v="CO-C"/>
    <d v="2026-04-23T00:00:00"/>
    <x v="12"/>
    <x v="25"/>
    <s v="Employee"/>
    <s v="2"/>
    <s v="ORCL IN OSSI"/>
    <s v="504826 - 1CV:GSC-Business Analytics - PaaS"/>
    <s v="009B"/>
    <s v="Y"/>
    <s v="Y"/>
    <s v="Unrecognized"/>
    <n v="8"/>
    <s v="AED"/>
    <n v="36.270000000000003"/>
    <n v="353.64"/>
    <n v="290.19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900706"/>
    <s v="3029640523350162"/>
    <s v="1.04.00"/>
    <s v="FP Labor - Remote Services Ctr"/>
    <s v="Labor"/>
    <s v="CO-C"/>
    <d v="2026-04-23T00:00:00"/>
    <x v="12"/>
    <x v="22"/>
    <s v="Billable Contractor"/>
    <m/>
    <s v="ORCL EG"/>
    <s v="509485 - 73M: EMEA Business Analytics - PaaS"/>
    <s v="008U"/>
    <s v="Y"/>
    <s v="Y"/>
    <s v="Unrecognized"/>
    <n v="7"/>
    <s v="AED"/>
    <n v="68.86"/>
    <n v="542.25"/>
    <n v="482.02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8968509"/>
    <s v="1532589945:2"/>
    <s v="1.04.00"/>
    <s v="FP Labor - Remote Services Ctr"/>
    <s v="Labor"/>
    <s v="CO-C"/>
    <d v="2026-04-23T00:00:00"/>
    <x v="12"/>
    <x v="21"/>
    <s v="Employee"/>
    <s v="5"/>
    <s v="ORCL IN OSSI"/>
    <s v="504826 - 1CV:GSC-Business Analytics - PaaS"/>
    <s v="09B1"/>
    <s v="Y"/>
    <s v="Y"/>
    <s v="Unrecognized"/>
    <n v="8"/>
    <s v="AED"/>
    <n v="68.45"/>
    <n v="660.13"/>
    <n v="547.6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011585"/>
    <s v="3029642612272901"/>
    <s v="1.04.00"/>
    <s v="FP Labor - Remote Services Ctr"/>
    <s v="Labor"/>
    <s v="CO-C"/>
    <d v="2026-04-24T00:00:00"/>
    <x v="12"/>
    <x v="2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020640"/>
    <s v="1532288135:2"/>
    <s v="1.04.00"/>
    <s v="FP Labor - Remote Services Ctr"/>
    <s v="Labor"/>
    <s v="CO-C"/>
    <d v="2026-04-24T00:00:00"/>
    <x v="12"/>
    <x v="20"/>
    <s v="Employee"/>
    <s v="6"/>
    <s v="ORCL IN OSSI"/>
    <s v="504826 - 1CV:GSC-Business Analytics - PaaS"/>
    <s v="09B3"/>
    <s v="Y"/>
    <s v="Y"/>
    <s v="Unrecognized"/>
    <n v="4"/>
    <s v="AED"/>
    <n v="109.63"/>
    <n v="754.44"/>
    <n v="438.5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026214"/>
    <s v="1533016892:1"/>
    <s v="1.04.00"/>
    <s v="FP Labor - Remote Services Ctr"/>
    <s v="Labor"/>
    <s v="CO-C"/>
    <d v="2026-04-24T00:00:00"/>
    <x v="12"/>
    <x v="23"/>
    <s v="Employee"/>
    <s v="7"/>
    <s v="ORCL IN OSSI"/>
    <s v="504736 - 0TV:GSC-SCM Cloud"/>
    <s v="009B"/>
    <s v="Y"/>
    <s v="Y"/>
    <s v="Unrecognized"/>
    <n v="8"/>
    <s v="AED"/>
    <n v="109.63"/>
    <n v="813.38"/>
    <n v="877.02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38063"/>
    <s v="1536616995:2"/>
    <s v="1.04.00"/>
    <s v="FP Labor - Remote Services Ctr"/>
    <s v="Labor"/>
    <s v="CO-C"/>
    <d v="2026-04-24T00:00:00"/>
    <x v="12"/>
    <x v="25"/>
    <s v="Employee"/>
    <s v="2"/>
    <s v="ORCL IN OSSI"/>
    <s v="504826 - 1CV:GSC-Business Analytics - PaaS"/>
    <s v="009B"/>
    <s v="Y"/>
    <s v="Y"/>
    <s v="Unrecognized"/>
    <n v="8"/>
    <s v="AED"/>
    <n v="36.15"/>
    <n v="353.64"/>
    <n v="289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094347"/>
    <s v="1532589951:2"/>
    <s v="1.04.00"/>
    <s v="FP Labor - Remote Services Ctr"/>
    <s v="Labor"/>
    <s v="CO-C"/>
    <d v="2026-04-24T00:00:00"/>
    <x v="12"/>
    <x v="21"/>
    <s v="Employee"/>
    <s v="5"/>
    <s v="ORCL IN OSSI"/>
    <s v="504826 - 1CV:GSC-Business Analytics - PaaS"/>
    <s v="09B1"/>
    <s v="Y"/>
    <s v="Y"/>
    <s v="Unrecognized"/>
    <n v="8"/>
    <s v="AED"/>
    <n v="68.23"/>
    <n v="660.13"/>
    <n v="545.7999999999999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314025"/>
    <s v="3029657414753131"/>
    <s v="1.04.00"/>
    <s v="FP Labor - Remote Services Ctr"/>
    <s v="Labor"/>
    <s v="CO-C"/>
    <d v="2026-04-26T00:00:00"/>
    <x v="13"/>
    <x v="26"/>
    <s v="Employee"/>
    <s v="8"/>
    <s v="ORCL EG"/>
    <s v="502416 - 3WP-EMEA Delivery Middleware - IaaS"/>
    <s v="008U"/>
    <s v="Y"/>
    <s v="Y"/>
    <s v="Unrecognized"/>
    <n v="8"/>
    <s v="AED"/>
    <n v="96.19"/>
    <n v="943.05"/>
    <n v="769.55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788"/>
    <s v="3029651845037531"/>
    <s v="1.04.00"/>
    <s v="FP Labor - Remote Services Ctr"/>
    <s v="Labor"/>
    <s v="CO-C"/>
    <d v="2026-04-27T00:00:00"/>
    <x v="13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314024"/>
    <s v="3029657414753161"/>
    <s v="1.04.00"/>
    <s v="FP Labor - Remote Services Ctr"/>
    <s v="Labor"/>
    <s v="CO-C"/>
    <d v="2026-04-27T00:00:00"/>
    <x v="13"/>
    <x v="26"/>
    <s v="Employee"/>
    <s v="8"/>
    <s v="ORCL EG"/>
    <s v="502416 - 3WP-EMEA Delivery Middleware - IaaS"/>
    <s v="008U"/>
    <s v="Y"/>
    <s v="Y"/>
    <s v="Unrecognized"/>
    <n v="8"/>
    <s v="AED"/>
    <n v="96.19"/>
    <n v="943.05"/>
    <n v="769.55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5916"/>
    <s v="1532288196:2"/>
    <s v="1.04.00"/>
    <s v="FP Labor - Remote Services Ctr"/>
    <s v="Labor"/>
    <s v="CO-C"/>
    <d v="2026-04-27T00:00:00"/>
    <x v="13"/>
    <x v="20"/>
    <s v="Employee"/>
    <s v="6"/>
    <s v="ORCL IN OSSI"/>
    <s v="504826 - 1CV:GSC-Business Analytics - PaaS"/>
    <s v="09B3"/>
    <s v="Y"/>
    <s v="Y"/>
    <s v="Unrecognized"/>
    <n v="4"/>
    <s v="AED"/>
    <n v="109.46"/>
    <n v="754.44"/>
    <n v="437.84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95545"/>
    <s v="1536617221:2"/>
    <s v="1.04.00"/>
    <s v="FP Labor - Remote Services Ctr"/>
    <s v="Labor"/>
    <s v="CO-C"/>
    <d v="2026-04-27T00:00:00"/>
    <x v="13"/>
    <x v="25"/>
    <s v="Employee"/>
    <s v="2"/>
    <s v="ORCL IN OSSI"/>
    <s v="504826 - 1CV:GSC-Business Analytics - PaaS"/>
    <s v="009B"/>
    <s v="Y"/>
    <s v="Y"/>
    <s v="Unrecognized"/>
    <n v="8"/>
    <s v="AED"/>
    <n v="36.1"/>
    <n v="353.64"/>
    <n v="288.7900000000000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4230"/>
    <s v="1532590000:2"/>
    <s v="1.04.00"/>
    <s v="FP Labor - Remote Services Ctr"/>
    <s v="Labor"/>
    <s v="CO-C"/>
    <d v="2026-04-27T00:00:00"/>
    <x v="13"/>
    <x v="21"/>
    <s v="Employee"/>
    <s v="5"/>
    <s v="ORCL IN OSSI"/>
    <s v="504826 - 1CV:GSC-Business Analytics - PaaS"/>
    <s v="09B1"/>
    <s v="Y"/>
    <s v="Y"/>
    <s v="Unrecognized"/>
    <n v="8"/>
    <s v="AED"/>
    <n v="68.12"/>
    <n v="660.13"/>
    <n v="544.97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787"/>
    <s v="3029651845037551"/>
    <s v="1.04.00"/>
    <s v="FP Labor - Remote Services Ctr"/>
    <s v="Labor"/>
    <s v="CO-C"/>
    <d v="2026-04-28T00:00:00"/>
    <x v="13"/>
    <x v="1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314023"/>
    <s v="3029657414753191"/>
    <s v="1.04.00"/>
    <s v="FP Labor - Remote Services Ctr"/>
    <s v="Labor"/>
    <s v="CO-C"/>
    <d v="2026-04-28T00:00:00"/>
    <x v="13"/>
    <x v="26"/>
    <s v="Employee"/>
    <s v="8"/>
    <s v="ORCL EG"/>
    <s v="502416 - 3WP-EMEA Delivery Middleware - IaaS"/>
    <s v="008U"/>
    <s v="Y"/>
    <s v="Y"/>
    <s v="Unrecognized"/>
    <n v="8"/>
    <s v="AED"/>
    <n v="96.32"/>
    <n v="943.05"/>
    <n v="770.57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23463"/>
    <s v="1532288199:2"/>
    <s v="1.04.00"/>
    <s v="FP Labor - Remote Services Ctr"/>
    <s v="Labor"/>
    <s v="CO-C"/>
    <d v="2026-04-28T00:00:00"/>
    <x v="13"/>
    <x v="20"/>
    <s v="Employee"/>
    <s v="6"/>
    <s v="ORCL IN OSSI"/>
    <s v="504826 - 1CV:GSC-Business Analytics - PaaS"/>
    <s v="09B3"/>
    <s v="Y"/>
    <s v="Y"/>
    <s v="Unrecognized"/>
    <n v="4"/>
    <s v="AED"/>
    <n v="109.53"/>
    <n v="754.44"/>
    <n v="438.12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86658"/>
    <s v="1536617222:2"/>
    <s v="1.04.00"/>
    <s v="FP Labor - Remote Services Ctr"/>
    <s v="Labor"/>
    <s v="CO-C"/>
    <d v="2026-04-28T00:00:00"/>
    <x v="13"/>
    <x v="25"/>
    <s v="Employee"/>
    <s v="2"/>
    <s v="ORCL IN OSSI"/>
    <s v="504826 - 1CV:GSC-Business Analytics - PaaS"/>
    <s v="009B"/>
    <s v="Y"/>
    <s v="Y"/>
    <s v="Unrecognized"/>
    <n v="8"/>
    <s v="AED"/>
    <n v="36.119999999999997"/>
    <n v="353.64"/>
    <n v="288.9700000000000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5145"/>
    <s v="1532590004:2"/>
    <s v="1.04.00"/>
    <s v="FP Labor - Remote Services Ctr"/>
    <s v="Labor"/>
    <s v="CO-C"/>
    <d v="2026-04-28T00:00:00"/>
    <x v="13"/>
    <x v="21"/>
    <s v="Employee"/>
    <s v="5"/>
    <s v="ORCL IN OSSI"/>
    <s v="504826 - 1CV:GSC-Business Analytics - PaaS"/>
    <s v="09B1"/>
    <s v="Y"/>
    <s v="Y"/>
    <s v="Unrecognized"/>
    <n v="8"/>
    <s v="AED"/>
    <n v="68.17"/>
    <n v="660.13"/>
    <n v="545.32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786"/>
    <s v="3029651845037571"/>
    <s v="1.04.00"/>
    <s v="FP Labor - Remote Services Ctr"/>
    <s v="Labor"/>
    <s v="CO-C"/>
    <d v="2026-04-29T00:00:00"/>
    <x v="13"/>
    <x v="1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314008"/>
    <s v="3029657414753221"/>
    <s v="1.04.00"/>
    <s v="FP Labor - Remote Services Ctr"/>
    <s v="Labor"/>
    <s v="CO-C"/>
    <d v="2026-04-29T00:00:00"/>
    <x v="13"/>
    <x v="26"/>
    <s v="Employee"/>
    <s v="8"/>
    <s v="ORCL EG"/>
    <s v="502416 - 3WP-EMEA Delivery Middleware - IaaS"/>
    <s v="008U"/>
    <s v="Y"/>
    <s v="Y"/>
    <s v="Unrecognized"/>
    <n v="4"/>
    <s v="AED"/>
    <n v="95.91"/>
    <n v="943.05"/>
    <n v="383.64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23464"/>
    <s v="1532288202:2"/>
    <s v="1.04.00"/>
    <s v="FP Labor - Remote Services Ctr"/>
    <s v="Labor"/>
    <s v="CO-C"/>
    <d v="2026-04-29T00:00:00"/>
    <x v="13"/>
    <x v="20"/>
    <s v="Employee"/>
    <s v="6"/>
    <s v="ORCL IN OSSI"/>
    <s v="504826 - 1CV:GSC-Business Analytics - PaaS"/>
    <s v="09B3"/>
    <s v="Y"/>
    <s v="Y"/>
    <s v="Unrecognized"/>
    <n v="4"/>
    <s v="AED"/>
    <n v="109.17"/>
    <n v="754.44"/>
    <n v="436.6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76314"/>
    <s v="1536617223:2"/>
    <s v="1.04.00"/>
    <s v="FP Labor - Remote Services Ctr"/>
    <s v="Labor"/>
    <s v="CO-C"/>
    <d v="2026-04-29T00:00:00"/>
    <x v="13"/>
    <x v="25"/>
    <s v="Employee"/>
    <s v="2"/>
    <s v="ORCL IN OSSI"/>
    <s v="504826 - 1CV:GSC-Business Analytics - PaaS"/>
    <s v="009B"/>
    <s v="Y"/>
    <s v="Y"/>
    <s v="Unrecognized"/>
    <n v="8"/>
    <s v="AED"/>
    <n v="36"/>
    <n v="353.64"/>
    <n v="288.01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497"/>
    <s v="3029640531872652"/>
    <s v="1.04.00"/>
    <s v="FP Labor - Remote Services Ctr"/>
    <s v="Labor"/>
    <s v="CO-C"/>
    <d v="2026-04-29T00:00:00"/>
    <x v="13"/>
    <x v="22"/>
    <s v="Billable Contractor"/>
    <m/>
    <s v="ORCL EG"/>
    <s v="509485 - 73M: EMEA Business Analytics - PaaS"/>
    <s v="008U"/>
    <s v="Y"/>
    <s v="Y"/>
    <s v="Unrecognized"/>
    <n v="7"/>
    <s v="AED"/>
    <n v="68.87"/>
    <n v="542.25"/>
    <n v="482.08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7553"/>
    <s v="1532590009:2"/>
    <s v="1.04.00"/>
    <s v="FP Labor - Remote Services Ctr"/>
    <s v="Labor"/>
    <s v="CO-C"/>
    <d v="2026-04-29T00:00:00"/>
    <x v="13"/>
    <x v="21"/>
    <s v="Employee"/>
    <s v="5"/>
    <s v="ORCL IN OSSI"/>
    <s v="504826 - 1CV:GSC-Business Analytics - Paa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60784"/>
    <s v="3029651845037601"/>
    <s v="1.04.00"/>
    <s v="FP Labor - Remote Services Ctr"/>
    <s v="Labor"/>
    <s v="CO-C"/>
    <d v="2026-04-30T00:00:00"/>
    <x v="13"/>
    <x v="16"/>
    <s v="Billable Contractor"/>
    <m/>
    <s v="ORCL EG"/>
    <s v="509485 - 73M: EMEA Business Analytics - P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7664"/>
    <s v="1532288205:2"/>
    <s v="1.04.00"/>
    <s v="FP Labor - Remote Services Ctr"/>
    <s v="Labor"/>
    <s v="CO-C"/>
    <d v="2026-04-30T00:00:00"/>
    <x v="13"/>
    <x v="20"/>
    <s v="Employee"/>
    <s v="6"/>
    <s v="ORCL IN OSSI"/>
    <s v="504826 - 1CV:GSC-Business Analytics - PaaS"/>
    <s v="09B3"/>
    <s v="Y"/>
    <s v="Y"/>
    <s v="Unrecognized"/>
    <n v="4"/>
    <s v="AED"/>
    <n v="109.17"/>
    <n v="754.44"/>
    <n v="436.6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71325"/>
    <s v="1536355912:1"/>
    <s v="1.04.00"/>
    <s v="FP Labor - Remote Services Ctr"/>
    <s v="Labor"/>
    <s v="CO-C"/>
    <d v="2026-04-30T00:00:00"/>
    <x v="13"/>
    <x v="23"/>
    <s v="Employee"/>
    <s v="7"/>
    <s v="ORCL IN OSSI"/>
    <s v="504736 - 0TV:GSC-SCM Cloud"/>
    <s v="009B"/>
    <s v="Y"/>
    <s v="Y"/>
    <s v="Unrecognized"/>
    <n v="8"/>
    <s v="AED"/>
    <n v="109.17"/>
    <n v="813.38"/>
    <n v="873.33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98631"/>
    <s v="1536617224:2"/>
    <s v="1.04.00"/>
    <s v="FP Labor - Remote Services Ctr"/>
    <s v="Labor"/>
    <s v="CO-C"/>
    <d v="2026-04-30T00:00:00"/>
    <x v="13"/>
    <x v="25"/>
    <s v="Employee"/>
    <s v="2"/>
    <s v="ORCL IN OSSI"/>
    <s v="504826 - 1CV:GSC-Business Analytics - PaaS"/>
    <s v="009B"/>
    <s v="Y"/>
    <s v="Y"/>
    <s v="Unrecognized"/>
    <n v="8"/>
    <s v="AED"/>
    <n v="36"/>
    <n v="353.64"/>
    <n v="288.01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496"/>
    <s v="3029640531872672"/>
    <s v="1.04.00"/>
    <s v="FP Labor - Remote Services Ctr"/>
    <s v="Labor"/>
    <s v="CO-C"/>
    <d v="2026-04-30T00:00:00"/>
    <x v="13"/>
    <x v="22"/>
    <s v="Billable Contractor"/>
    <m/>
    <s v="ORCL EG"/>
    <s v="509485 - 73M: EMEA Business Analytics - PaaS"/>
    <s v="008U"/>
    <s v="Y"/>
    <s v="Y"/>
    <s v="Unrecognized"/>
    <n v="7"/>
    <s v="AED"/>
    <n v="68.87"/>
    <n v="542.25"/>
    <n v="482.08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7462"/>
    <s v="1532590017:2"/>
    <s v="1.04.00"/>
    <s v="FP Labor - Remote Services Ctr"/>
    <s v="Labor"/>
    <s v="CO-C"/>
    <d v="2026-04-30T00:00:00"/>
    <x v="13"/>
    <x v="21"/>
    <s v="Employee"/>
    <s v="5"/>
    <s v="ORCL IN OSSI"/>
    <s v="504826 - 1CV:GSC-Business Analytics - Paa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458501"/>
    <s v="3029642608668621"/>
    <s v="1.04.00"/>
    <s v="FP Labor - Remote Services Ctr"/>
    <s v="Labor"/>
    <s v="CO-C"/>
    <d v="2026-05-01T00:00:00"/>
    <x v="13"/>
    <x v="2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380479"/>
    <s v="1532288207:2"/>
    <s v="1.04.00"/>
    <s v="FP Labor - Remote Services Ctr"/>
    <s v="Labor"/>
    <s v="CO-C"/>
    <d v="2026-05-01T00:00:00"/>
    <x v="13"/>
    <x v="20"/>
    <s v="Employee"/>
    <s v="6"/>
    <s v="ORCL IN OSSI"/>
    <s v="504826 - 1CV:GSC-Business Analytics - PaaS"/>
    <s v="09B3"/>
    <s v="Y"/>
    <s v="Y"/>
    <s v="Unrecognized"/>
    <n v="4"/>
    <s v="AED"/>
    <n v="109.17"/>
    <n v="754.44"/>
    <n v="436.6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764479"/>
    <s v="1532590023:2"/>
    <s v="1.04.00"/>
    <s v="FP Labor - Remote Services Ctr"/>
    <s v="Labor"/>
    <s v="CO-C"/>
    <d v="2026-05-01T00:00:00"/>
    <x v="13"/>
    <x v="21"/>
    <s v="Employee"/>
    <s v="5"/>
    <s v="ORCL IN OSSI"/>
    <s v="504826 - 1CV:GSC-Business Analytics - Paa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736"/>
    <s v="3029641145482772"/>
    <s v="1.04.00"/>
    <s v="FP Labor - Remote Services Ctr"/>
    <s v="Labor"/>
    <s v="CO-C"/>
    <d v="2026-05-03T00:00:00"/>
    <x v="14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5269"/>
    <s v="1532288262:3"/>
    <s v="1.04.00"/>
    <s v="FP Labor - Remote Services Ctr"/>
    <s v="Labor"/>
    <s v="CO-C"/>
    <d v="2026-05-04T00:00:00"/>
    <x v="14"/>
    <x v="20"/>
    <s v="Employee"/>
    <s v="6"/>
    <s v="ORCL IN OSSI"/>
    <s v="504826 - 1CV:GSC-Business Analytics - PaaS"/>
    <s v="09B3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737"/>
    <s v="3029641145482792"/>
    <s v="1.04.00"/>
    <s v="FP Labor - Remote Services Ctr"/>
    <s v="Labor"/>
    <s v="CO-C"/>
    <d v="2026-05-04T00:00:00"/>
    <x v="14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4917"/>
    <s v="1537897963:2"/>
    <s v="1.04.00"/>
    <s v="FP Labor - Remote Services Ctr"/>
    <s v="Labor"/>
    <s v="CO-C"/>
    <d v="2026-05-04T00:00:00"/>
    <x v="14"/>
    <x v="25"/>
    <s v="Employee"/>
    <s v="2"/>
    <s v="ORCL IN OSSI"/>
    <s v="504826 - 1CV:GSC-Business Analytics - PaaS"/>
    <s v="009B"/>
    <s v="Y"/>
    <s v="Y"/>
    <s v="Unrecognized"/>
    <n v="16"/>
    <s v="AED"/>
    <n v="36"/>
    <n v="353.64"/>
    <n v="576.03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8041"/>
    <s v="1532592104:3"/>
    <s v="1.04.00"/>
    <s v="FP Labor - Remote Services Ctr"/>
    <s v="Labor"/>
    <s v="CO-C"/>
    <d v="2026-05-04T00:00:00"/>
    <x v="14"/>
    <x v="21"/>
    <s v="Employee"/>
    <s v="5"/>
    <s v="ORCL IN OSSI"/>
    <s v="504826 - 1CV:GSC-Business Analytics - Paa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4847"/>
    <s v="1532288265:3"/>
    <s v="1.04.00"/>
    <s v="FP Labor - Remote Services Ctr"/>
    <s v="Labor"/>
    <s v="CO-C"/>
    <d v="2026-05-05T00:00:00"/>
    <x v="14"/>
    <x v="20"/>
    <s v="Employee"/>
    <s v="6"/>
    <s v="ORCL IN OSSI"/>
    <s v="504826 - 1CV:GSC-Business Analytics - PaaS"/>
    <s v="09B3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683"/>
    <s v="3029641145482812"/>
    <s v="1.04.00"/>
    <s v="FP Labor - Remote Services Ctr"/>
    <s v="Labor"/>
    <s v="CO-C"/>
    <d v="2026-05-05T00:00:00"/>
    <x v="14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7512"/>
    <s v="1537897964:2"/>
    <s v="1.04.00"/>
    <s v="FP Labor - Remote Services Ctr"/>
    <s v="Labor"/>
    <s v="CO-C"/>
    <d v="2026-05-05T00:00:00"/>
    <x v="14"/>
    <x v="25"/>
    <s v="Employee"/>
    <s v="2"/>
    <s v="ORCL IN OSSI"/>
    <s v="504826 - 1CV:GSC-Business Analytics - PaaS"/>
    <s v="009B"/>
    <s v="Y"/>
    <s v="Y"/>
    <s v="Unrecognized"/>
    <n v="16"/>
    <s v="AED"/>
    <n v="36"/>
    <n v="353.64"/>
    <n v="576.03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262002"/>
    <s v="3029654015279731"/>
    <s v="1.04.00"/>
    <s v="FP Labor - Remote Services Ctr"/>
    <s v="Labor"/>
    <s v="CO-C"/>
    <d v="2026-05-05T00:00:00"/>
    <x v="14"/>
    <x v="2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6636"/>
    <s v="1532592108:3"/>
    <s v="1.04.00"/>
    <s v="FP Labor - Remote Services Ctr"/>
    <s v="Labor"/>
    <s v="CO-C"/>
    <d v="2026-05-05T00:00:00"/>
    <x v="14"/>
    <x v="21"/>
    <s v="Employee"/>
    <s v="5"/>
    <s v="ORCL IN OSSI"/>
    <s v="504826 - 1CV:GSC-Business Analytics - Paa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8243"/>
    <s v="1532288268:3"/>
    <s v="1.04.00"/>
    <s v="FP Labor - Remote Services Ctr"/>
    <s v="Labor"/>
    <s v="CO-C"/>
    <d v="2026-05-06T00:00:00"/>
    <x v="14"/>
    <x v="20"/>
    <s v="Employee"/>
    <s v="6"/>
    <s v="ORCL IN OSSI"/>
    <s v="504826 - 1CV:GSC-Business Analytics - PaaS"/>
    <s v="09B3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9168"/>
    <s v="1537897965:2"/>
    <s v="1.04.00"/>
    <s v="FP Labor - Remote Services Ctr"/>
    <s v="Labor"/>
    <s v="CO-C"/>
    <d v="2026-05-06T00:00:00"/>
    <x v="14"/>
    <x v="25"/>
    <s v="Employee"/>
    <s v="2"/>
    <s v="ORCL IN OSSI"/>
    <s v="504826 - 1CV:GSC-Business Analytics - PaaS"/>
    <s v="009B"/>
    <s v="Y"/>
    <s v="Y"/>
    <s v="Unrecognized"/>
    <n v="16"/>
    <s v="AED"/>
    <n v="36"/>
    <n v="353.64"/>
    <n v="576.03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782"/>
    <s v="3029640531327074"/>
    <s v="1.04.00"/>
    <s v="FP Labor - Remote Services Ctr"/>
    <s v="Labor"/>
    <s v="CO-C"/>
    <d v="2026-05-06T00:00:00"/>
    <x v="14"/>
    <x v="22"/>
    <s v="Billable Contractor"/>
    <m/>
    <s v="ORCL EG"/>
    <s v="509485 - 73M: EMEA Business Analytics - PaaS"/>
    <s v="008U"/>
    <s v="Y"/>
    <s v="Y"/>
    <s v="Unrecognized"/>
    <n v="7"/>
    <s v="AED"/>
    <n v="68.87"/>
    <n v="542.25"/>
    <n v="482.08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5707"/>
    <s v="1532592113:3"/>
    <s v="1.04.00"/>
    <s v="FP Labor - Remote Services Ctr"/>
    <s v="Labor"/>
    <s v="CO-C"/>
    <d v="2026-05-06T00:00:00"/>
    <x v="14"/>
    <x v="21"/>
    <s v="Employee"/>
    <s v="5"/>
    <s v="ORCL IN OSSI"/>
    <s v="504826 - 1CV:GSC-Business Analytics - Paa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5320"/>
    <s v="1532288271:3"/>
    <s v="1.04.00"/>
    <s v="FP Labor - Remote Services Ctr"/>
    <s v="Labor"/>
    <s v="CO-C"/>
    <d v="2026-05-07T00:00:00"/>
    <x v="14"/>
    <x v="20"/>
    <s v="Employee"/>
    <s v="6"/>
    <s v="ORCL IN OSSI"/>
    <s v="504826 - 1CV:GSC-Business Analytics - PaaS"/>
    <s v="09B3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843145"/>
    <s v="1533017226:1"/>
    <s v="1.04.00"/>
    <s v="FP Labor - Remote Services Ctr"/>
    <s v="Labor"/>
    <s v="CO-C"/>
    <d v="2026-05-07T00:00:00"/>
    <x v="14"/>
    <x v="23"/>
    <s v="Employee"/>
    <s v="7"/>
    <s v="ORCL IN OSSI"/>
    <s v="504736 - 0TV:GSC-SCM Cloud"/>
    <s v="009B"/>
    <s v="Y"/>
    <s v="Y"/>
    <s v="Unrecognized"/>
    <n v="8"/>
    <s v="AED"/>
    <n v="109.17"/>
    <n v="813.38"/>
    <n v="873.33"/>
    <n v="0"/>
    <n v="6507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7444"/>
    <s v="1537897966:2"/>
    <s v="1.04.00"/>
    <s v="FP Labor - Remote Services Ctr"/>
    <s v="Labor"/>
    <s v="CO-C"/>
    <d v="2026-05-07T00:00:00"/>
    <x v="14"/>
    <x v="25"/>
    <s v="Employee"/>
    <s v="2"/>
    <s v="ORCL IN OSSI"/>
    <s v="504826 - 1CV:GSC-Business Analytics - PaaS"/>
    <s v="009B"/>
    <s v="Y"/>
    <s v="Y"/>
    <s v="Unrecognized"/>
    <n v="16"/>
    <s v="AED"/>
    <n v="36"/>
    <n v="353.64"/>
    <n v="576.03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749"/>
    <s v="3029640531327094"/>
    <s v="1.04.00"/>
    <s v="FP Labor - Remote Services Ctr"/>
    <s v="Labor"/>
    <s v="CO-C"/>
    <d v="2026-05-07T00:00:00"/>
    <x v="14"/>
    <x v="22"/>
    <s v="Billable Contractor"/>
    <m/>
    <s v="ORCL EG"/>
    <s v="509485 - 73M: EMEA Business Analytics - PaaS"/>
    <s v="008U"/>
    <s v="Y"/>
    <s v="Y"/>
    <s v="Unrecognized"/>
    <n v="7"/>
    <s v="AED"/>
    <n v="68.87"/>
    <n v="542.25"/>
    <n v="482.08"/>
    <n v="0"/>
    <n v="3795.75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6209"/>
    <s v="1532592121:3"/>
    <s v="1.04.00"/>
    <s v="FP Labor - Remote Services Ctr"/>
    <s v="Labor"/>
    <s v="CO-C"/>
    <d v="2026-05-07T00:00:00"/>
    <x v="14"/>
    <x v="21"/>
    <s v="Employee"/>
    <s v="5"/>
    <s v="ORCL IN OSSI"/>
    <s v="504826 - 1CV:GSC-Business Analytics - Paa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09924284"/>
    <s v="3029642612561071"/>
    <s v="1.04.00"/>
    <s v="FP Labor - Remote Services Ctr"/>
    <s v="Labor"/>
    <s v="CO-C"/>
    <d v="2026-05-08T00:00:00"/>
    <x v="14"/>
    <x v="2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9397"/>
    <s v="1532288273:3"/>
    <s v="1.04.00"/>
    <s v="FP Labor - Remote Services Ctr"/>
    <s v="Labor"/>
    <s v="CO-C"/>
    <d v="2026-05-08T00:00:00"/>
    <x v="14"/>
    <x v="20"/>
    <s v="Employee"/>
    <s v="6"/>
    <s v="ORCL IN OSSI"/>
    <s v="504826 - 1CV:GSC-Business Analytics - PaaS"/>
    <s v="09B3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5798"/>
    <s v="1537897967:2"/>
    <s v="1.04.00"/>
    <s v="FP Labor - Remote Services Ctr"/>
    <s v="Labor"/>
    <s v="CO-C"/>
    <d v="2026-05-08T00:00:00"/>
    <x v="14"/>
    <x v="25"/>
    <s v="Employee"/>
    <s v="2"/>
    <s v="ORCL IN OSSI"/>
    <s v="504826 - 1CV:GSC-Business Analytics - PaaS"/>
    <s v="009B"/>
    <s v="Y"/>
    <s v="Y"/>
    <s v="Unrecognized"/>
    <n v="16"/>
    <s v="AED"/>
    <n v="36"/>
    <n v="353.64"/>
    <n v="576.03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818"/>
    <s v="3029653500189741"/>
    <s v="1.04.00"/>
    <s v="FP Labor - Remote Services Ctr"/>
    <s v="Labor"/>
    <s v="CO-C"/>
    <d v="2026-05-08T00:00:00"/>
    <x v="14"/>
    <x v="2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5464"/>
    <s v="1532592127:3"/>
    <s v="1.04.00"/>
    <s v="FP Labor - Remote Services Ctr"/>
    <s v="Labor"/>
    <s v="CO-C"/>
    <d v="2026-05-08T00:00:00"/>
    <x v="14"/>
    <x v="21"/>
    <s v="Employee"/>
    <s v="5"/>
    <s v="ORCL IN OSSI"/>
    <s v="504826 - 1CV:GSC-Business Analytics - Paa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780"/>
    <s v="3029653486877861"/>
    <s v="1.04.00"/>
    <s v="FP Labor - Remote Services Ctr"/>
    <s v="Labor"/>
    <s v="CO-C"/>
    <d v="2026-05-09T00:00:00"/>
    <x v="15"/>
    <x v="2"/>
    <s v="Billable Contractor"/>
    <m/>
    <s v="ORCL EG"/>
    <s v="509485 - 73M: EMEA Business Analytics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779"/>
    <s v="3029641142557753"/>
    <s v="1.04.00"/>
    <s v="FP Labor - Remote Services Ctr"/>
    <s v="Labor"/>
    <s v="CO-C"/>
    <d v="2026-05-10T00:00:00"/>
    <x v="15"/>
    <x v="2"/>
    <s v="Billable Contractor"/>
    <m/>
    <s v="ORCL EG"/>
    <s v="509485 - 73M: EMEA Business Analytics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535447"/>
    <s v="1532288289:4"/>
    <s v="1.04.00"/>
    <s v="FP Labor - Remote Services Ctr"/>
    <s v="Labor"/>
    <s v="CO-C"/>
    <d v="2026-05-11T00:00:00"/>
    <x v="15"/>
    <x v="20"/>
    <s v="Employee"/>
    <s v="6"/>
    <s v="ORCL IN OSSI"/>
    <s v="504826 - 1CV:GSC-Business Analytics - PaaS"/>
    <s v="09B3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159777"/>
    <s v="3029641142557773"/>
    <s v="1.04.00"/>
    <s v="FP Labor - Remote Services Ctr"/>
    <s v="Labor"/>
    <s v="CO-C"/>
    <d v="2026-05-11T00:00:00"/>
    <x v="15"/>
    <x v="2"/>
    <s v="Billable Contractor"/>
    <m/>
    <s v="ORCL EG"/>
    <s v="509485 - 73M: EMEA Business Analytics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8176"/>
    <s v="1538367052:2"/>
    <s v="1.04.00"/>
    <s v="FP Labor - Remote Services Ctr"/>
    <s v="Labor"/>
    <s v="CO-C"/>
    <d v="2026-05-11T00:00:00"/>
    <x v="15"/>
    <x v="25"/>
    <s v="Employee"/>
    <s v="2"/>
    <s v="ORCL IN OSSI"/>
    <s v="504826 - 1CV:GSC-Business Analytics - PaaS"/>
    <s v="009B"/>
    <s v="Y"/>
    <s v="Y"/>
    <s v="Unrecognized"/>
    <n v="16"/>
    <s v="AED"/>
    <n v="36"/>
    <n v="353.64"/>
    <n v="576.03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9677"/>
    <s v="1532592184:3"/>
    <s v="1.04.00"/>
    <s v="FP Labor - Remote Services Ctr"/>
    <s v="Labor"/>
    <s v="CO-C"/>
    <d v="2026-05-11T00:00:00"/>
    <x v="15"/>
    <x v="21"/>
    <s v="Employee"/>
    <s v="5"/>
    <s v="ORCL IN OSSI"/>
    <s v="504826 - 1CV:GSC-Business Analytics - Paa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534681"/>
    <s v="1532288292:4"/>
    <s v="1.04.00"/>
    <s v="FP Labor - Remote Services Ctr"/>
    <s v="Labor"/>
    <s v="CO-C"/>
    <d v="2026-05-12T00:00:00"/>
    <x v="15"/>
    <x v="20"/>
    <s v="Employee"/>
    <s v="6"/>
    <s v="ORCL IN OSSI"/>
    <s v="504826 - 1CV:GSC-Business Analytics - PaaS"/>
    <s v="09B3"/>
    <s v="Y"/>
    <s v="Y"/>
    <s v="Unrecognized"/>
    <n v="8"/>
    <s v="AED"/>
    <n v="108.25"/>
    <n v="754.44"/>
    <n v="865.98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228296"/>
    <s v="3029641142557793"/>
    <s v="1.04.00"/>
    <s v="FP Labor - Remote Services Ctr"/>
    <s v="Labor"/>
    <s v="CO-C"/>
    <d v="2026-05-12T00:00:00"/>
    <x v="15"/>
    <x v="2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5819"/>
    <s v="1538367053:2"/>
    <s v="1.04.00"/>
    <s v="FP Labor - Remote Services Ctr"/>
    <s v="Labor"/>
    <s v="CO-C"/>
    <d v="2026-05-12T00:00:00"/>
    <x v="15"/>
    <x v="25"/>
    <s v="Employee"/>
    <s v="2"/>
    <s v="ORCL IN OSSI"/>
    <s v="504826 - 1CV:GSC-Business Analytics - PaaS"/>
    <s v="009B"/>
    <s v="Y"/>
    <s v="Y"/>
    <s v="Unrecognized"/>
    <n v="16"/>
    <s v="AED"/>
    <n v="35.700000000000003"/>
    <n v="353.64"/>
    <n v="571.16999999999996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4791"/>
    <s v="1532592188:3"/>
    <s v="1.04.00"/>
    <s v="FP Labor - Remote Services Ctr"/>
    <s v="Labor"/>
    <s v="CO-C"/>
    <d v="2026-05-12T00:00:00"/>
    <x v="15"/>
    <x v="21"/>
    <s v="Employee"/>
    <s v="5"/>
    <s v="ORCL IN OSSI"/>
    <s v="504826 - 1CV:GSC-Business Analytics - PaaS"/>
    <s v="09B1"/>
    <s v="Y"/>
    <s v="Y"/>
    <s v="Unrecognized"/>
    <n v="16"/>
    <s v="AED"/>
    <n v="67.37"/>
    <n v="660.13"/>
    <n v="1077.8599999999999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536364"/>
    <s v="1532288295:4"/>
    <s v="1.04.00"/>
    <s v="FP Labor - Remote Services Ctr"/>
    <s v="Labor"/>
    <s v="CO-C"/>
    <d v="2026-05-13T00:00:00"/>
    <x v="15"/>
    <x v="20"/>
    <s v="Employee"/>
    <s v="6"/>
    <s v="ORCL IN OSSI"/>
    <s v="504826 - 1CV:GSC-Business Analytics - PaaS"/>
    <s v="09B3"/>
    <s v="Y"/>
    <s v="Y"/>
    <s v="Unrecognized"/>
    <n v="8"/>
    <s v="AED"/>
    <n v="107.89"/>
    <n v="754.44"/>
    <n v="863.09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261940"/>
    <s v="3029653486877941"/>
    <s v="1.04.00"/>
    <s v="FP Labor - Remote Services Ctr"/>
    <s v="Labor"/>
    <s v="CO-C"/>
    <d v="2026-05-13T00:00:00"/>
    <x v="15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5965"/>
    <s v="1538367054:2"/>
    <s v="1.04.00"/>
    <s v="FP Labor - Remote Services Ctr"/>
    <s v="Labor"/>
    <s v="CO-C"/>
    <d v="2026-05-13T00:00:00"/>
    <x v="15"/>
    <x v="25"/>
    <s v="Employee"/>
    <s v="2"/>
    <s v="ORCL IN OSSI"/>
    <s v="504826 - 1CV:GSC-Business Analytics - PaaS"/>
    <s v="009B"/>
    <s v="Y"/>
    <s v="Y"/>
    <s v="Unrecognized"/>
    <n v="16"/>
    <s v="AED"/>
    <n v="35.58"/>
    <n v="353.64"/>
    <n v="569.27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261946"/>
    <s v="3029640531339394"/>
    <s v="1.04.00"/>
    <s v="FP Labor - Remote Services Ctr"/>
    <s v="Labor"/>
    <s v="CO-C"/>
    <d v="2026-05-13T00:00:00"/>
    <x v="15"/>
    <x v="2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6753"/>
    <s v="1532592193:3"/>
    <s v="1.04.00"/>
    <s v="FP Labor - Remote Services Ctr"/>
    <s v="Labor"/>
    <s v="CO-C"/>
    <d v="2026-05-13T00:00:00"/>
    <x v="15"/>
    <x v="21"/>
    <s v="Employee"/>
    <s v="5"/>
    <s v="ORCL IN OSSI"/>
    <s v="504826 - 1CV:GSC-Business Analytics - PaaS"/>
    <s v="09B1"/>
    <s v="Y"/>
    <s v="Y"/>
    <s v="Unrecognized"/>
    <n v="16"/>
    <s v="AED"/>
    <n v="67.14"/>
    <n v="660.13"/>
    <n v="1074.27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536989"/>
    <s v="1532288298:4"/>
    <s v="1.04.00"/>
    <s v="FP Labor - Remote Services Ctr"/>
    <s v="Labor"/>
    <s v="CO-C"/>
    <d v="2026-05-14T00:00:00"/>
    <x v="15"/>
    <x v="20"/>
    <s v="Employee"/>
    <s v="6"/>
    <s v="ORCL IN OSSI"/>
    <s v="504826 - 1CV:GSC-Business Analytics - PaaS"/>
    <s v="09B3"/>
    <s v="Y"/>
    <s v="Y"/>
    <s v="Unrecognized"/>
    <n v="8"/>
    <s v="AED"/>
    <n v="107.79"/>
    <n v="754.44"/>
    <n v="862.3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467282"/>
    <s v="1538367055:2"/>
    <s v="1.04.00"/>
    <s v="FP Labor - Remote Services Ctr"/>
    <s v="Labor"/>
    <s v="CO-C"/>
    <d v="2026-05-14T00:00:00"/>
    <x v="15"/>
    <x v="25"/>
    <s v="Employee"/>
    <s v="2"/>
    <s v="ORCL IN OSSI"/>
    <s v="504826 - 1CV:GSC-Business Analytics - PaaS"/>
    <s v="009B"/>
    <s v="Y"/>
    <s v="Y"/>
    <s v="Unrecognized"/>
    <n v="16"/>
    <s v="AED"/>
    <n v="35.549999999999997"/>
    <n v="353.64"/>
    <n v="568.78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61490"/>
    <s v="3029640531339414"/>
    <s v="1.04.00"/>
    <s v="FP Labor - Remote Services Ctr"/>
    <s v="Labor"/>
    <s v="CO-C"/>
    <d v="2026-05-14T00:00:00"/>
    <x v="15"/>
    <x v="2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385745"/>
    <s v="1532592201:3"/>
    <s v="1.04.00"/>
    <s v="FP Labor - Remote Services Ctr"/>
    <s v="Labor"/>
    <s v="CO-C"/>
    <d v="2026-05-14T00:00:00"/>
    <x v="15"/>
    <x v="21"/>
    <s v="Employee"/>
    <s v="5"/>
    <s v="ORCL IN OSSI"/>
    <s v="504826 - 1CV:GSC-Business Analytics - PaaS"/>
    <s v="09B1"/>
    <s v="Y"/>
    <s v="Y"/>
    <s v="Unrecognized"/>
    <n v="16"/>
    <s v="AED"/>
    <n v="67.08"/>
    <n v="660.13"/>
    <n v="1073.3399999999999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536392"/>
    <s v="1532288300:4"/>
    <s v="1.04.00"/>
    <s v="FP Labor - Remote Services Ctr"/>
    <s v="Labor"/>
    <s v="CO-C"/>
    <d v="2026-05-15T00:00:00"/>
    <x v="15"/>
    <x v="20"/>
    <s v="Employee"/>
    <s v="6"/>
    <s v="ORCL IN OSSI"/>
    <s v="504826 - 1CV:GSC-Business Analytics - PaaS"/>
    <s v="09B3"/>
    <s v="Y"/>
    <s v="Y"/>
    <s v="Unrecognized"/>
    <n v="8"/>
    <s v="AED"/>
    <n v="107.73"/>
    <n v="754.44"/>
    <n v="861.84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527383"/>
    <s v="1538367056:2"/>
    <s v="1.04.00"/>
    <s v="FP Labor - Remote Services Ctr"/>
    <s v="Labor"/>
    <s v="CO-C"/>
    <d v="2026-05-15T00:00:00"/>
    <x v="15"/>
    <x v="25"/>
    <s v="Employee"/>
    <s v="2"/>
    <s v="ORCL IN OSSI"/>
    <s v="504826 - 1CV:GSC-Business Analytics - PaaS"/>
    <s v="009B"/>
    <s v="Y"/>
    <s v="Y"/>
    <s v="Unrecognized"/>
    <n v="16"/>
    <s v="AED"/>
    <n v="35.53"/>
    <n v="353.64"/>
    <n v="568.45000000000005"/>
    <n v="0"/>
    <n v="5658.2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0528338"/>
    <s v="1532592207:3"/>
    <s v="1.04.00"/>
    <s v="FP Labor - Remote Services Ctr"/>
    <s v="Labor"/>
    <s v="CO-C"/>
    <d v="2026-05-15T00:00:00"/>
    <x v="15"/>
    <x v="21"/>
    <s v="Employee"/>
    <s v="5"/>
    <s v="ORCL IN OSSI"/>
    <s v="504826 - 1CV:GSC-Business Analytics - PaaS"/>
    <s v="09B1"/>
    <s v="Y"/>
    <s v="Y"/>
    <s v="Unrecognized"/>
    <n v="16"/>
    <s v="AED"/>
    <n v="67.040000000000006"/>
    <n v="660.13"/>
    <n v="1072.71"/>
    <n v="0"/>
    <n v="10562.03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56072"/>
    <s v="3029660754356561"/>
    <s v="1.04.00"/>
    <s v="FP Labor - Remote Services Ctr"/>
    <s v="Labor"/>
    <s v="CO-C"/>
    <d v="2026-05-31T00:00:00"/>
    <x v="16"/>
    <x v="26"/>
    <s v="Employee"/>
    <s v="8"/>
    <s v="ORCL EG"/>
    <s v="502416 - 3WP-EMEA Delivery Middleware - IaaS"/>
    <s v="008U"/>
    <s v="Y"/>
    <s v="Y"/>
    <s v="Unrecognized"/>
    <n v="8"/>
    <s v="AED"/>
    <n v="96.93"/>
    <n v="943.05"/>
    <n v="775.4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961835"/>
    <s v="1541188285:1"/>
    <s v="1.04.00"/>
    <s v="FP Labor - Remote Services Ctr"/>
    <s v="Labor"/>
    <s v="CO-C"/>
    <d v="2026-06-01T00:00:00"/>
    <x v="16"/>
    <x v="27"/>
    <s v="Employee"/>
    <s v="2"/>
    <s v="ORCL IN OSSI"/>
    <s v="504826 - 1CV:GSC-Business Analytics - PaaS"/>
    <s v="09B2"/>
    <s v="Y"/>
    <s v="Y"/>
    <s v="Unrecognized"/>
    <n v="8"/>
    <s v="AED"/>
    <n v="35.65"/>
    <n v="353.64"/>
    <n v="285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56063"/>
    <s v="3029660754356581"/>
    <s v="1.04.00"/>
    <s v="FP Labor - Remote Services Ctr"/>
    <s v="Labor"/>
    <s v="CO-C"/>
    <d v="2026-06-01T00:00:00"/>
    <x v="16"/>
    <x v="26"/>
    <s v="Employee"/>
    <s v="8"/>
    <s v="ORCL EG"/>
    <s v="502416 - 3WP-EMEA Delivery Middleware - IaaS"/>
    <s v="008U"/>
    <s v="Y"/>
    <s v="Y"/>
    <s v="Unrecognized"/>
    <n v="8"/>
    <s v="AED"/>
    <n v="96.93"/>
    <n v="943.05"/>
    <n v="775.4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854000"/>
    <s v="1540611345:1"/>
    <s v="1.04.00"/>
    <s v="FP Labor - Remote Services Ctr"/>
    <s v="Labor"/>
    <s v="CO-C"/>
    <d v="2026-06-01T00:00:00"/>
    <x v="16"/>
    <x v="20"/>
    <s v="Employee"/>
    <s v="6"/>
    <s v="ORCL IN OSSI"/>
    <s v="504826 - 1CV:GSC-Business Analytics - PaaS"/>
    <s v="09B3"/>
    <s v="Y"/>
    <s v="Y"/>
    <s v="Unrecognized"/>
    <n v="4"/>
    <s v="AED"/>
    <n v="108.11"/>
    <n v="754.44"/>
    <n v="432.4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53508"/>
    <s v="3029662047929511"/>
    <s v="1.04.00"/>
    <s v="FP Labor - Remote Services Ctr"/>
    <s v="Labor"/>
    <s v="CO-C"/>
    <d v="2026-06-01T00:00:00"/>
    <x v="16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854192"/>
    <s v="1538367104:1"/>
    <s v="1.04.00"/>
    <s v="FP Labor - Remote Services Ctr"/>
    <s v="Labor"/>
    <s v="CO-C"/>
    <d v="2026-06-01T00:00:00"/>
    <x v="16"/>
    <x v="25"/>
    <s v="Employee"/>
    <s v="2"/>
    <s v="ORCL IN OSSI"/>
    <s v="504826 - 1CV:GSC-Business Analytics - PaaS"/>
    <s v="009B"/>
    <s v="Y"/>
    <s v="Y"/>
    <s v="Unrecognized"/>
    <n v="8"/>
    <s v="AED"/>
    <n v="35.65"/>
    <n v="353.64"/>
    <n v="285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105231"/>
    <s v="1541501952:1"/>
    <s v="1.04.00"/>
    <s v="FP Labor - Remote Services Ctr"/>
    <s v="Labor"/>
    <s v="CO-C"/>
    <d v="2026-06-01T00:00:00"/>
    <x v="16"/>
    <x v="21"/>
    <s v="Employee"/>
    <s v="5"/>
    <s v="ORCL IN OSSI"/>
    <s v="504826 - 1CV:GSC-Business Analytics - PaaS"/>
    <s v="09B1"/>
    <s v="Y"/>
    <s v="Y"/>
    <s v="Unrecognized"/>
    <n v="8"/>
    <s v="AED"/>
    <n v="67.28"/>
    <n v="660.13"/>
    <n v="538.26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56062"/>
    <s v="3029660754356601"/>
    <s v="1.04.00"/>
    <s v="FP Labor - Remote Services Ctr"/>
    <s v="Labor"/>
    <s v="CO-C"/>
    <d v="2026-06-02T00:00:00"/>
    <x v="16"/>
    <x v="26"/>
    <s v="Employee"/>
    <s v="8"/>
    <s v="ORCL EG"/>
    <s v="502416 - 3WP-EMEA Delivery Middleware - IaaS"/>
    <s v="008U"/>
    <s v="Y"/>
    <s v="Y"/>
    <s v="Unrecognized"/>
    <n v="8"/>
    <s v="AED"/>
    <n v="96.93"/>
    <n v="943.05"/>
    <n v="775.4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867149"/>
    <s v="1540611344:1"/>
    <s v="1.04.00"/>
    <s v="FP Labor - Remote Services Ctr"/>
    <s v="Labor"/>
    <s v="CO-C"/>
    <d v="2026-06-02T00:00:00"/>
    <x v="16"/>
    <x v="20"/>
    <s v="Employee"/>
    <s v="6"/>
    <s v="ORCL IN OSSI"/>
    <s v="504826 - 1CV:GSC-Business Analytics - PaaS"/>
    <s v="09B3"/>
    <s v="Y"/>
    <s v="Y"/>
    <s v="Unrecognized"/>
    <n v="4"/>
    <s v="AED"/>
    <n v="108.11"/>
    <n v="754.44"/>
    <n v="432.4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53506"/>
    <s v="3029662047929531"/>
    <s v="1.04.00"/>
    <s v="FP Labor - Remote Services Ctr"/>
    <s v="Labor"/>
    <s v="CO-C"/>
    <d v="2026-06-02T00:00:00"/>
    <x v="16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947023"/>
    <s v="1541187938:1"/>
    <s v="1.04.00"/>
    <s v="FP Labor - Remote Services Ctr"/>
    <s v="Labor"/>
    <s v="CO-C"/>
    <d v="2026-06-02T00:00:00"/>
    <x v="16"/>
    <x v="3"/>
    <s v="Employee"/>
    <s v="7"/>
    <s v="ORCL IN OSSI"/>
    <s v="504826 - 1CV:GSC-Business Analytics - PaaS"/>
    <s v="009B"/>
    <s v="Y"/>
    <s v="Y"/>
    <s v="Unrecognized"/>
    <n v="5"/>
    <s v="AED"/>
    <n v="108.11"/>
    <n v="813.38"/>
    <n v="540.5599999999999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859943"/>
    <s v="1538367105:1"/>
    <s v="1.04.00"/>
    <s v="FP Labor - Remote Services Ctr"/>
    <s v="Labor"/>
    <s v="CO-C"/>
    <d v="2026-06-02T00:00:00"/>
    <x v="16"/>
    <x v="25"/>
    <s v="Employee"/>
    <s v="2"/>
    <s v="ORCL IN OSSI"/>
    <s v="504826 - 1CV:GSC-Business Analytics - PaaS"/>
    <s v="009B"/>
    <s v="Y"/>
    <s v="Y"/>
    <s v="Unrecognized"/>
    <n v="8"/>
    <s v="AED"/>
    <n v="35.65"/>
    <n v="353.64"/>
    <n v="285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104806"/>
    <s v="1541501956:1"/>
    <s v="1.04.00"/>
    <s v="FP Labor - Remote Services Ctr"/>
    <s v="Labor"/>
    <s v="CO-C"/>
    <d v="2026-06-02T00:00:00"/>
    <x v="16"/>
    <x v="21"/>
    <s v="Employee"/>
    <s v="5"/>
    <s v="ORCL IN OSSI"/>
    <s v="504826 - 1CV:GSC-Business Analytics - PaaS"/>
    <s v="09B1"/>
    <s v="Y"/>
    <s v="Y"/>
    <s v="Unrecognized"/>
    <n v="8"/>
    <s v="AED"/>
    <n v="67.28"/>
    <n v="660.13"/>
    <n v="538.26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960279"/>
    <s v="1541188284:1"/>
    <s v="1.04.00"/>
    <s v="FP Labor - Remote Services Ctr"/>
    <s v="Labor"/>
    <s v="CO-C"/>
    <d v="2026-06-03T00:00:00"/>
    <x v="16"/>
    <x v="27"/>
    <s v="Employee"/>
    <s v="2"/>
    <s v="ORCL IN OSSI"/>
    <s v="504826 - 1CV:GSC-Business Analytics - PaaS"/>
    <s v="09B2"/>
    <s v="Y"/>
    <s v="Y"/>
    <s v="Unrecognized"/>
    <n v="8"/>
    <s v="AED"/>
    <n v="35.65"/>
    <n v="353.64"/>
    <n v="285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56060"/>
    <s v="3029660754356631"/>
    <s v="1.04.00"/>
    <s v="FP Labor - Remote Services Ctr"/>
    <s v="Labor"/>
    <s v="CO-C"/>
    <d v="2026-06-03T00:00:00"/>
    <x v="16"/>
    <x v="26"/>
    <s v="Employee"/>
    <s v="8"/>
    <s v="ORCL EG"/>
    <s v="502416 - 3WP-EMEA Delivery Middleware - IaaS"/>
    <s v="008U"/>
    <s v="Y"/>
    <s v="Y"/>
    <s v="Unrecognized"/>
    <n v="4"/>
    <s v="AED"/>
    <n v="96.93"/>
    <n v="943.05"/>
    <n v="387.7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960931"/>
    <s v="1540611343:1"/>
    <s v="1.04.00"/>
    <s v="FP Labor - Remote Services Ctr"/>
    <s v="Labor"/>
    <s v="CO-C"/>
    <d v="2026-06-03T00:00:00"/>
    <x v="16"/>
    <x v="20"/>
    <s v="Employee"/>
    <s v="6"/>
    <s v="ORCL IN OSSI"/>
    <s v="504826 - 1CV:GSC-Business Analytics - PaaS"/>
    <s v="09B3"/>
    <s v="Y"/>
    <s v="Y"/>
    <s v="Unrecognized"/>
    <n v="4"/>
    <s v="AED"/>
    <n v="108.11"/>
    <n v="754.44"/>
    <n v="432.4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53536"/>
    <s v="3029662047929551"/>
    <s v="1.04.00"/>
    <s v="FP Labor - Remote Services Ctr"/>
    <s v="Labor"/>
    <s v="CO-C"/>
    <d v="2026-06-03T00:00:00"/>
    <x v="16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962283"/>
    <s v="1541187939:1"/>
    <s v="1.04.00"/>
    <s v="FP Labor - Remote Services Ctr"/>
    <s v="Labor"/>
    <s v="CO-C"/>
    <d v="2026-06-03T00:00:00"/>
    <x v="16"/>
    <x v="3"/>
    <s v="Employee"/>
    <s v="7"/>
    <s v="ORCL IN OSSI"/>
    <s v="504826 - 1CV:GSC-Business Analytics - PaaS"/>
    <s v="009B"/>
    <s v="Y"/>
    <s v="Y"/>
    <s v="Unrecognized"/>
    <n v="5"/>
    <s v="AED"/>
    <n v="108.11"/>
    <n v="813.38"/>
    <n v="540.5599999999999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1947186"/>
    <s v="1538367106:1"/>
    <s v="1.04.00"/>
    <s v="FP Labor - Remote Services Ctr"/>
    <s v="Labor"/>
    <s v="CO-C"/>
    <d v="2026-06-03T00:00:00"/>
    <x v="16"/>
    <x v="25"/>
    <s v="Employee"/>
    <s v="2"/>
    <s v="ORCL IN OSSI"/>
    <s v="504826 - 1CV:GSC-Business Analytics - PaaS"/>
    <s v="009B"/>
    <s v="Y"/>
    <s v="Y"/>
    <s v="Unrecognized"/>
    <n v="8"/>
    <s v="AED"/>
    <n v="35.65"/>
    <n v="353.64"/>
    <n v="285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105392"/>
    <s v="1541501962:1"/>
    <s v="1.04.00"/>
    <s v="FP Labor - Remote Services Ctr"/>
    <s v="Labor"/>
    <s v="CO-C"/>
    <d v="2026-06-03T00:00:00"/>
    <x v="16"/>
    <x v="21"/>
    <s v="Employee"/>
    <s v="5"/>
    <s v="ORCL IN OSSI"/>
    <s v="504826 - 1CV:GSC-Business Analytics - PaaS"/>
    <s v="09B1"/>
    <s v="Y"/>
    <s v="Y"/>
    <s v="Unrecognized"/>
    <n v="8"/>
    <s v="AED"/>
    <n v="67.28"/>
    <n v="660.13"/>
    <n v="538.26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20939"/>
    <s v="1541188283:1"/>
    <s v="1.04.00"/>
    <s v="FP Labor - Remote Services Ctr"/>
    <s v="Labor"/>
    <s v="CO-C"/>
    <d v="2026-06-04T00:00:00"/>
    <x v="16"/>
    <x v="27"/>
    <s v="Employee"/>
    <s v="2"/>
    <s v="ORCL IN OSSI"/>
    <s v="504826 - 1CV:GSC-Business Analytics - PaaS"/>
    <s v="09B2"/>
    <s v="Y"/>
    <s v="Y"/>
    <s v="Unrecognized"/>
    <n v="8"/>
    <s v="AED"/>
    <n v="35.65"/>
    <n v="353.64"/>
    <n v="285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01391"/>
    <s v="1540611342:1"/>
    <s v="1.04.00"/>
    <s v="FP Labor - Remote Services Ctr"/>
    <s v="Labor"/>
    <s v="CO-C"/>
    <d v="2026-06-04T00:00:00"/>
    <x v="16"/>
    <x v="20"/>
    <s v="Employee"/>
    <s v="6"/>
    <s v="ORCL IN OSSI"/>
    <s v="504826 - 1CV:GSC-Business Analytics - PaaS"/>
    <s v="09B3"/>
    <s v="Y"/>
    <s v="Y"/>
    <s v="Unrecognized"/>
    <n v="4"/>
    <s v="AED"/>
    <n v="108.11"/>
    <n v="754.44"/>
    <n v="432.4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53533"/>
    <s v="3029662047929571"/>
    <s v="1.04.00"/>
    <s v="FP Labor - Remote Services Ctr"/>
    <s v="Labor"/>
    <s v="CO-C"/>
    <d v="2026-06-04T00:00:00"/>
    <x v="16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16655"/>
    <s v="1541187940:1"/>
    <s v="1.04.00"/>
    <s v="FP Labor - Remote Services Ctr"/>
    <s v="Labor"/>
    <s v="CO-C"/>
    <d v="2026-06-04T00:00:00"/>
    <x v="16"/>
    <x v="3"/>
    <s v="Employee"/>
    <s v="7"/>
    <s v="ORCL IN OSSI"/>
    <s v="504826 - 1CV:GSC-Business Analytics - PaaS"/>
    <s v="009B"/>
    <s v="Y"/>
    <s v="Y"/>
    <s v="Unrecognized"/>
    <n v="5"/>
    <s v="AED"/>
    <n v="108.11"/>
    <n v="813.38"/>
    <n v="540.5599999999999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14357"/>
    <s v="1538367107:1"/>
    <s v="1.04.00"/>
    <s v="FP Labor - Remote Services Ctr"/>
    <s v="Labor"/>
    <s v="CO-C"/>
    <d v="2026-06-04T00:00:00"/>
    <x v="16"/>
    <x v="25"/>
    <s v="Employee"/>
    <s v="2"/>
    <s v="ORCL IN OSSI"/>
    <s v="504826 - 1CV:GSC-Business Analytics - PaaS"/>
    <s v="009B"/>
    <s v="Y"/>
    <s v="Y"/>
    <s v="Unrecognized"/>
    <n v="8"/>
    <s v="AED"/>
    <n v="35.65"/>
    <n v="353.64"/>
    <n v="285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050787"/>
    <s v="1540611341:1"/>
    <s v="1.04.00"/>
    <s v="FP Labor - Remote Services Ctr"/>
    <s v="Labor"/>
    <s v="CO-C"/>
    <d v="2026-06-05T00:00:00"/>
    <x v="16"/>
    <x v="20"/>
    <s v="Employee"/>
    <s v="6"/>
    <s v="ORCL IN OSSI"/>
    <s v="504826 - 1CV:GSC-Business Analytics - PaaS"/>
    <s v="09B3"/>
    <s v="Y"/>
    <s v="Y"/>
    <s v="Unrecognized"/>
    <n v="4"/>
    <s v="AED"/>
    <n v="108.11"/>
    <n v="754.44"/>
    <n v="432.4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104385"/>
    <s v="1541187941:1"/>
    <s v="1.04.00"/>
    <s v="FP Labor - Remote Services Ctr"/>
    <s v="Labor"/>
    <s v="CO-C"/>
    <d v="2026-06-05T00:00:00"/>
    <x v="16"/>
    <x v="3"/>
    <s v="Employee"/>
    <s v="7"/>
    <s v="ORCL IN OSSI"/>
    <s v="504826 - 1CV:GSC-Business Analytics - PaaS"/>
    <s v="009B"/>
    <s v="Y"/>
    <s v="Y"/>
    <s v="Unrecognized"/>
    <n v="5"/>
    <s v="AED"/>
    <n v="108.11"/>
    <n v="813.38"/>
    <n v="540.5599999999999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108318"/>
    <s v="1538367108:1"/>
    <s v="1.04.00"/>
    <s v="FP Labor - Remote Services Ctr"/>
    <s v="Labor"/>
    <s v="CO-C"/>
    <d v="2026-06-05T00:00:00"/>
    <x v="16"/>
    <x v="25"/>
    <s v="Employee"/>
    <s v="2"/>
    <s v="ORCL IN OSSI"/>
    <s v="504826 - 1CV:GSC-Business Analytics - PaaS"/>
    <s v="009B"/>
    <s v="Y"/>
    <s v="Y"/>
    <s v="Unrecognized"/>
    <n v="8"/>
    <s v="AED"/>
    <n v="35.65"/>
    <n v="353.64"/>
    <n v="285.2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108426"/>
    <s v="1541501972:1"/>
    <s v="1.04.00"/>
    <s v="FP Labor - Remote Services Ctr"/>
    <s v="Labor"/>
    <s v="CO-C"/>
    <d v="2026-06-05T00:00:00"/>
    <x v="16"/>
    <x v="21"/>
    <s v="Employee"/>
    <s v="5"/>
    <s v="ORCL IN OSSI"/>
    <s v="504826 - 1CV:GSC-Business Analytics - PaaS"/>
    <s v="09B1"/>
    <s v="Y"/>
    <s v="Y"/>
    <s v="Unrecognized"/>
    <n v="8"/>
    <s v="AED"/>
    <n v="67.28"/>
    <n v="660.13"/>
    <n v="538.26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29864"/>
    <s v="3029662550661641"/>
    <s v="1.04.00"/>
    <s v="FP Labor - Remote Services Ctr"/>
    <s v="Labor"/>
    <s v="CO-C"/>
    <d v="2026-06-07T00:00:00"/>
    <x v="17"/>
    <x v="26"/>
    <s v="Employee"/>
    <s v="8"/>
    <s v="ORCL EG"/>
    <s v="502416 - 3WP-EMEA Delivery Middleware - IaaS"/>
    <s v="008U"/>
    <s v="Y"/>
    <s v="Y"/>
    <s v="Unrecognized"/>
    <n v="8"/>
    <s v="AED"/>
    <n v="97.68"/>
    <n v="943.05"/>
    <n v="781.43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43622"/>
    <s v="1541854029:2"/>
    <s v="1.04.00"/>
    <s v="FP Labor - Remote Services Ctr"/>
    <s v="Labor"/>
    <s v="CO-C"/>
    <d v="2026-06-08T00:00:00"/>
    <x v="17"/>
    <x v="27"/>
    <s v="Employee"/>
    <s v="2"/>
    <s v="ORCL IN OSSI"/>
    <s v="504826 - 1CV:GSC-Business Analytics - PaaS"/>
    <s v="09B2"/>
    <s v="Y"/>
    <s v="Y"/>
    <s v="Unrecognized"/>
    <n v="8"/>
    <s v="AED"/>
    <n v="35.840000000000003"/>
    <n v="353.64"/>
    <n v="286.69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29861"/>
    <s v="3029662550661661"/>
    <s v="1.04.00"/>
    <s v="FP Labor - Remote Services Ctr"/>
    <s v="Labor"/>
    <s v="CO-C"/>
    <d v="2026-06-08T00:00:00"/>
    <x v="17"/>
    <x v="26"/>
    <s v="Employee"/>
    <s v="8"/>
    <s v="ORCL EG"/>
    <s v="502416 - 3WP-EMEA Delivery Middleware - IaaS"/>
    <s v="008U"/>
    <s v="Y"/>
    <s v="Y"/>
    <s v="Unrecognized"/>
    <n v="8"/>
    <s v="AED"/>
    <n v="97.68"/>
    <n v="943.05"/>
    <n v="781.43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53519"/>
    <s v="3029662049847911"/>
    <s v="1.04.00"/>
    <s v="FP Labor - Remote Services Ctr"/>
    <s v="Labor"/>
    <s v="CO-C"/>
    <d v="2026-06-08T00:00:00"/>
    <x v="17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10153"/>
    <s v="1540836351:1"/>
    <s v="1.04.00"/>
    <s v="FP Labor - Remote Services Ctr"/>
    <s v="Labor"/>
    <s v="CO-C"/>
    <d v="2026-06-08T00:00:00"/>
    <x v="17"/>
    <x v="25"/>
    <s v="Employee"/>
    <s v="2"/>
    <s v="ORCL IN OSSI"/>
    <s v="504826 - 1CV:GSC-Business Analytics - PaaS"/>
    <s v="009B"/>
    <s v="Y"/>
    <s v="Y"/>
    <s v="Unrecognized"/>
    <n v="8"/>
    <s v="AED"/>
    <n v="35.840000000000003"/>
    <n v="353.64"/>
    <n v="286.69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01450"/>
    <s v="1541502050:1"/>
    <s v="1.04.00"/>
    <s v="FP Labor - Remote Services Ctr"/>
    <s v="Labor"/>
    <s v="CO-C"/>
    <d v="2026-06-08T00:00:00"/>
    <x v="17"/>
    <x v="21"/>
    <s v="Employee"/>
    <s v="5"/>
    <s v="ORCL IN OSSI"/>
    <s v="504826 - 1CV:GSC-Business Analytics - PaaS"/>
    <s v="09B1"/>
    <s v="Y"/>
    <s v="Y"/>
    <s v="Unrecognized"/>
    <n v="8"/>
    <s v="AED"/>
    <n v="67.63"/>
    <n v="660.13"/>
    <n v="541.0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61119"/>
    <s v="1541854028:2"/>
    <s v="1.04.00"/>
    <s v="FP Labor - Remote Services Ctr"/>
    <s v="Labor"/>
    <s v="CO-C"/>
    <d v="2026-06-09T00:00:00"/>
    <x v="17"/>
    <x v="27"/>
    <s v="Employee"/>
    <s v="2"/>
    <s v="ORCL IN OSSI"/>
    <s v="504826 - 1CV:GSC-Business Analytics - PaaS"/>
    <s v="09B2"/>
    <s v="Y"/>
    <s v="Y"/>
    <s v="Unrecognized"/>
    <n v="8"/>
    <s v="AED"/>
    <n v="35.840000000000003"/>
    <n v="353.64"/>
    <n v="286.69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29860"/>
    <s v="3029662550661681"/>
    <s v="1.04.00"/>
    <s v="FP Labor - Remote Services Ctr"/>
    <s v="Labor"/>
    <s v="CO-C"/>
    <d v="2026-06-09T00:00:00"/>
    <x v="17"/>
    <x v="26"/>
    <s v="Employee"/>
    <s v="8"/>
    <s v="ORCL EG"/>
    <s v="502416 - 3WP-EMEA Delivery Middleware - IaaS"/>
    <s v="008U"/>
    <s v="Y"/>
    <s v="Y"/>
    <s v="Unrecognized"/>
    <n v="8"/>
    <s v="AED"/>
    <n v="97.68"/>
    <n v="943.05"/>
    <n v="781.43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53518"/>
    <s v="3029662049847931"/>
    <s v="1.04.00"/>
    <s v="FP Labor - Remote Services Ctr"/>
    <s v="Labor"/>
    <s v="CO-C"/>
    <d v="2026-06-09T00:00:00"/>
    <x v="17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622359"/>
    <s v="3029661797673672"/>
    <s v="1.04.00"/>
    <s v="FP Labor - Remote Services Ctr"/>
    <s v="Labor"/>
    <s v="CO-C"/>
    <d v="2026-06-09T00:00:00"/>
    <x v="17"/>
    <x v="28"/>
    <s v="Employee"/>
    <s v="6"/>
    <s v="ORCL EG"/>
    <s v="501195 - 3LF - EMEA Apps Delivery -Fusion ERP"/>
    <s v="008U"/>
    <s v="Y"/>
    <s v="Y"/>
    <s v="Unrecognized"/>
    <n v="4"/>
    <s v="AED"/>
    <n v="84.61"/>
    <n v="754.44"/>
    <n v="338.4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59458"/>
    <s v="1542100408:1"/>
    <s v="1.04.00"/>
    <s v="FP Labor - Remote Services Ctr"/>
    <s v="Labor"/>
    <s v="CO-C"/>
    <d v="2026-06-09T00:00:00"/>
    <x v="17"/>
    <x v="3"/>
    <s v="Employee"/>
    <s v="7"/>
    <s v="ORCL IN OSSI"/>
    <s v="504826 - 1CV:GSC-Business Analytics - PaaS"/>
    <s v="009B"/>
    <s v="Y"/>
    <s v="Y"/>
    <s v="Unrecognized"/>
    <n v="5"/>
    <s v="AED"/>
    <n v="108.67"/>
    <n v="813.38"/>
    <n v="543.33000000000004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43760"/>
    <s v="1540836352:1"/>
    <s v="1.04.00"/>
    <s v="FP Labor - Remote Services Ctr"/>
    <s v="Labor"/>
    <s v="CO-C"/>
    <d v="2026-06-09T00:00:00"/>
    <x v="17"/>
    <x v="25"/>
    <s v="Employee"/>
    <s v="2"/>
    <s v="ORCL IN OSSI"/>
    <s v="504826 - 1CV:GSC-Business Analytics - PaaS"/>
    <s v="009B"/>
    <s v="Y"/>
    <s v="Y"/>
    <s v="Unrecognized"/>
    <n v="8"/>
    <s v="AED"/>
    <n v="35.840000000000003"/>
    <n v="353.64"/>
    <n v="286.69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60336"/>
    <s v="1541502054:1"/>
    <s v="1.04.00"/>
    <s v="FP Labor - Remote Services Ctr"/>
    <s v="Labor"/>
    <s v="CO-C"/>
    <d v="2026-06-09T00:00:00"/>
    <x v="17"/>
    <x v="21"/>
    <s v="Employee"/>
    <s v="5"/>
    <s v="ORCL IN OSSI"/>
    <s v="504826 - 1CV:GSC-Business Analytics - PaaS"/>
    <s v="09B1"/>
    <s v="Y"/>
    <s v="Y"/>
    <s v="Unrecognized"/>
    <n v="8"/>
    <s v="AED"/>
    <n v="67.63"/>
    <n v="660.13"/>
    <n v="541.02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01754"/>
    <s v="1541854027:2"/>
    <s v="1.04.00"/>
    <s v="FP Labor - Remote Services Ctr"/>
    <s v="Labor"/>
    <s v="CO-C"/>
    <d v="2026-06-10T00:00:00"/>
    <x v="17"/>
    <x v="27"/>
    <s v="Employee"/>
    <s v="2"/>
    <s v="ORCL IN OSSI"/>
    <s v="504826 - 1CV:GSC-Business Analytics - PaaS"/>
    <s v="09B2"/>
    <s v="Y"/>
    <s v="Y"/>
    <s v="Unrecognized"/>
    <n v="8"/>
    <s v="AED"/>
    <n v="35.68"/>
    <n v="353.64"/>
    <n v="285.45999999999998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29949"/>
    <s v="3029662550661711"/>
    <s v="1.04.00"/>
    <s v="FP Labor - Remote Services Ctr"/>
    <s v="Labor"/>
    <s v="CO-C"/>
    <d v="2026-06-10T00:00:00"/>
    <x v="17"/>
    <x v="26"/>
    <s v="Employee"/>
    <s v="8"/>
    <s v="ORCL EG"/>
    <s v="502416 - 3WP-EMEA Delivery Middleware - IaaS"/>
    <s v="008U"/>
    <s v="Y"/>
    <s v="Y"/>
    <s v="Unrecognized"/>
    <n v="4"/>
    <s v="AED"/>
    <n v="97.87"/>
    <n v="943.05"/>
    <n v="391.47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02147"/>
    <s v="1540611390:1"/>
    <s v="1.04.00"/>
    <s v="FP Labor - Remote Services Ctr"/>
    <s v="Labor"/>
    <s v="CO-C"/>
    <d v="2026-06-10T00:00:00"/>
    <x v="17"/>
    <x v="20"/>
    <s v="Employee"/>
    <s v="6"/>
    <s v="ORCL IN OSSI"/>
    <s v="504826 - 1CV:GSC-Business Analytics - PaaS"/>
    <s v="09B3"/>
    <s v="Y"/>
    <s v="Y"/>
    <s v="Unrecognized"/>
    <n v="4"/>
    <s v="AED"/>
    <n v="108.2"/>
    <n v="754.44"/>
    <n v="432.79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93127"/>
    <s v="3029662049847951"/>
    <s v="1.04.00"/>
    <s v="FP Labor - Remote Services Ctr"/>
    <s v="Labor"/>
    <s v="CO-C"/>
    <d v="2026-06-10T00:00:00"/>
    <x v="17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622347"/>
    <s v="3029661797673702"/>
    <s v="1.04.00"/>
    <s v="FP Labor - Remote Services Ctr"/>
    <s v="Labor"/>
    <s v="CO-C"/>
    <d v="2026-06-10T00:00:00"/>
    <x v="17"/>
    <x v="28"/>
    <s v="Employee"/>
    <s v="6"/>
    <s v="ORCL EG"/>
    <s v="501195 - 3LF - EMEA Apps Delivery -Fusion ERP"/>
    <s v="008U"/>
    <s v="Y"/>
    <s v="Y"/>
    <s v="Unrecognized"/>
    <n v="8"/>
    <s v="AED"/>
    <n v="84.77"/>
    <n v="754.44"/>
    <n v="678.16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58257"/>
    <s v="1542100410:1"/>
    <s v="1.04.00"/>
    <s v="FP Labor - Remote Services Ctr"/>
    <s v="Labor"/>
    <s v="CO-C"/>
    <d v="2026-06-10T00:00:00"/>
    <x v="17"/>
    <x v="3"/>
    <s v="Employee"/>
    <s v="7"/>
    <s v="ORCL IN OSSI"/>
    <s v="504826 - 1CV:GSC-Business Analytics - PaaS"/>
    <s v="009B"/>
    <s v="Y"/>
    <s v="Y"/>
    <s v="Unrecognized"/>
    <n v="5"/>
    <s v="AED"/>
    <n v="108.2"/>
    <n v="813.38"/>
    <n v="540.99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02281"/>
    <s v="1540836353:1"/>
    <s v="1.04.00"/>
    <s v="FP Labor - Remote Services Ctr"/>
    <s v="Labor"/>
    <s v="CO-C"/>
    <d v="2026-06-10T00:00:00"/>
    <x v="17"/>
    <x v="25"/>
    <s v="Employee"/>
    <s v="2"/>
    <s v="ORCL IN OSSI"/>
    <s v="504826 - 1CV:GSC-Business Analytics - PaaS"/>
    <s v="009B"/>
    <s v="Y"/>
    <s v="Y"/>
    <s v="Unrecognized"/>
    <n v="8"/>
    <s v="AED"/>
    <n v="35.68"/>
    <n v="353.64"/>
    <n v="285.45999999999998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399950"/>
    <s v="1541502060:1"/>
    <s v="1.04.00"/>
    <s v="FP Labor - Remote Services Ctr"/>
    <s v="Labor"/>
    <s v="CO-C"/>
    <d v="2026-06-10T00:00:00"/>
    <x v="17"/>
    <x v="21"/>
    <s v="Employee"/>
    <s v="5"/>
    <s v="ORCL IN OSSI"/>
    <s v="504826 - 1CV:GSC-Business Analytics - PaaS"/>
    <s v="09B1"/>
    <s v="Y"/>
    <s v="Y"/>
    <s v="Unrecognized"/>
    <n v="8"/>
    <s v="AED"/>
    <n v="67.34"/>
    <n v="660.13"/>
    <n v="538.6799999999999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63711"/>
    <s v="1541854026:2"/>
    <s v="1.04.00"/>
    <s v="FP Labor - Remote Services Ctr"/>
    <s v="Labor"/>
    <s v="CO-C"/>
    <d v="2026-06-11T00:00:00"/>
    <x v="17"/>
    <x v="27"/>
    <s v="Employee"/>
    <s v="2"/>
    <s v="ORCL IN OSSI"/>
    <s v="504826 - 1CV:GSC-Business Analytics - PaaS"/>
    <s v="09B2"/>
    <s v="Y"/>
    <s v="Y"/>
    <s v="Unrecognized"/>
    <n v="8"/>
    <s v="AED"/>
    <n v="35.71"/>
    <n v="353.64"/>
    <n v="285.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62460"/>
    <s v="1540611392:1"/>
    <s v="1.04.00"/>
    <s v="FP Labor - Remote Services Ctr"/>
    <s v="Labor"/>
    <s v="CO-C"/>
    <d v="2026-06-11T00:00:00"/>
    <x v="17"/>
    <x v="20"/>
    <s v="Employee"/>
    <s v="6"/>
    <s v="ORCL IN OSSI"/>
    <s v="504826 - 1CV:GSC-Business Analytics - PaaS"/>
    <s v="09B3"/>
    <s v="Y"/>
    <s v="Y"/>
    <s v="Unrecognized"/>
    <n v="4"/>
    <s v="AED"/>
    <n v="108.29"/>
    <n v="754.44"/>
    <n v="433.1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51212"/>
    <s v="3029662049847971"/>
    <s v="1.04.00"/>
    <s v="FP Labor - Remote Services Ctr"/>
    <s v="Labor"/>
    <s v="CO-C"/>
    <d v="2026-06-11T00:00:00"/>
    <x v="17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622348"/>
    <s v="3029661797673722"/>
    <s v="1.04.00"/>
    <s v="FP Labor - Remote Services Ctr"/>
    <s v="Labor"/>
    <s v="CO-C"/>
    <d v="2026-06-11T00:00:00"/>
    <x v="17"/>
    <x v="28"/>
    <s v="Employee"/>
    <s v="6"/>
    <s v="ORCL EG"/>
    <s v="501195 - 3LF - EMEA Apps Delivery -Fusion ERP"/>
    <s v="008U"/>
    <s v="Y"/>
    <s v="Y"/>
    <s v="Unrecognized"/>
    <n v="8"/>
    <s v="AED"/>
    <n v="84.6"/>
    <n v="754.44"/>
    <n v="676.83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63832"/>
    <s v="1542100412:1"/>
    <s v="1.04.00"/>
    <s v="FP Labor - Remote Services Ctr"/>
    <s v="Labor"/>
    <s v="CO-C"/>
    <d v="2026-06-11T00:00:00"/>
    <x v="17"/>
    <x v="3"/>
    <s v="Employee"/>
    <s v="7"/>
    <s v="ORCL IN OSSI"/>
    <s v="504826 - 1CV:GSC-Business Analytics - PaaS"/>
    <s v="009B"/>
    <s v="Y"/>
    <s v="Y"/>
    <s v="Unrecognized"/>
    <n v="5"/>
    <s v="AED"/>
    <n v="108.29"/>
    <n v="813.38"/>
    <n v="541.4500000000000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60027"/>
    <s v="1540836354:1"/>
    <s v="1.04.00"/>
    <s v="FP Labor - Remote Services Ctr"/>
    <s v="Labor"/>
    <s v="CO-C"/>
    <d v="2026-06-11T00:00:00"/>
    <x v="17"/>
    <x v="25"/>
    <s v="Employee"/>
    <s v="2"/>
    <s v="ORCL IN OSSI"/>
    <s v="504826 - 1CV:GSC-Business Analytics - PaaS"/>
    <s v="009B"/>
    <s v="Y"/>
    <s v="Y"/>
    <s v="Unrecognized"/>
    <n v="8"/>
    <s v="AED"/>
    <n v="35.71"/>
    <n v="353.64"/>
    <n v="285.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456433"/>
    <s v="1541502066:1"/>
    <s v="1.04.00"/>
    <s v="FP Labor - Remote Services Ctr"/>
    <s v="Labor"/>
    <s v="CO-C"/>
    <d v="2026-06-11T00:00:00"/>
    <x v="17"/>
    <x v="21"/>
    <s v="Employee"/>
    <s v="5"/>
    <s v="ORCL IN OSSI"/>
    <s v="504826 - 1CV:GSC-Business Analytics - PaaS"/>
    <s v="09B1"/>
    <s v="Y"/>
    <s v="Y"/>
    <s v="Unrecognized"/>
    <n v="8"/>
    <s v="AED"/>
    <n v="67.39"/>
    <n v="660.13"/>
    <n v="539.1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557351"/>
    <s v="1541854025:2"/>
    <s v="1.04.00"/>
    <s v="FP Labor - Remote Services Ctr"/>
    <s v="Labor"/>
    <s v="CO-C"/>
    <d v="2026-06-12T00:00:00"/>
    <x v="17"/>
    <x v="27"/>
    <s v="Employee"/>
    <s v="2"/>
    <s v="ORCL IN OSSI"/>
    <s v="504826 - 1CV:GSC-Business Analytics - PaaS"/>
    <s v="09B2"/>
    <s v="Y"/>
    <s v="Y"/>
    <s v="Unrecognized"/>
    <n v="8"/>
    <s v="AED"/>
    <n v="35.71"/>
    <n v="353.64"/>
    <n v="285.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554970"/>
    <s v="1540611394:1"/>
    <s v="1.04.00"/>
    <s v="FP Labor - Remote Services Ctr"/>
    <s v="Labor"/>
    <s v="CO-C"/>
    <d v="2026-06-12T00:00:00"/>
    <x v="17"/>
    <x v="20"/>
    <s v="Employee"/>
    <s v="6"/>
    <s v="ORCL IN OSSI"/>
    <s v="504826 - 1CV:GSC-Business Analytics - PaaS"/>
    <s v="09B3"/>
    <s v="Y"/>
    <s v="Y"/>
    <s v="Unrecognized"/>
    <n v="4"/>
    <s v="AED"/>
    <n v="108.29"/>
    <n v="754.44"/>
    <n v="433.1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552445"/>
    <s v="1542100414:1"/>
    <s v="1.04.00"/>
    <s v="FP Labor - Remote Services Ctr"/>
    <s v="Labor"/>
    <s v="CO-C"/>
    <d v="2026-06-12T00:00:00"/>
    <x v="17"/>
    <x v="3"/>
    <s v="Employee"/>
    <s v="7"/>
    <s v="ORCL IN OSSI"/>
    <s v="504826 - 1CV:GSC-Business Analytics - PaaS"/>
    <s v="009B"/>
    <s v="Y"/>
    <s v="Y"/>
    <s v="Unrecognized"/>
    <n v="5"/>
    <s v="AED"/>
    <n v="108.29"/>
    <n v="813.38"/>
    <n v="541.4500000000000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553275"/>
    <s v="1540836355:1"/>
    <s v="1.04.00"/>
    <s v="FP Labor - Remote Services Ctr"/>
    <s v="Labor"/>
    <s v="CO-C"/>
    <d v="2026-06-12T00:00:00"/>
    <x v="17"/>
    <x v="25"/>
    <s v="Employee"/>
    <s v="2"/>
    <s v="ORCL IN OSSI"/>
    <s v="504826 - 1CV:GSC-Business Analytics - PaaS"/>
    <s v="009B"/>
    <s v="Y"/>
    <s v="Y"/>
    <s v="Unrecognized"/>
    <n v="8"/>
    <s v="AED"/>
    <n v="35.71"/>
    <n v="353.64"/>
    <n v="285.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559268"/>
    <s v="1541502070:1"/>
    <s v="1.04.00"/>
    <s v="FP Labor - Remote Services Ctr"/>
    <s v="Labor"/>
    <s v="CO-C"/>
    <d v="2026-06-12T00:00:00"/>
    <x v="17"/>
    <x v="21"/>
    <s v="Employee"/>
    <s v="5"/>
    <s v="ORCL IN OSSI"/>
    <s v="504826 - 1CV:GSC-Business Analytics - PaaS"/>
    <s v="09B1"/>
    <s v="Y"/>
    <s v="Y"/>
    <s v="Unrecognized"/>
    <n v="8"/>
    <s v="AED"/>
    <n v="67.39"/>
    <n v="660.13"/>
    <n v="539.1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11802"/>
    <s v="3029664179791961"/>
    <s v="1.04.00"/>
    <s v="FP Labor - Remote Services Ctr"/>
    <s v="Labor"/>
    <s v="CO-C"/>
    <d v="2026-06-14T00:00:00"/>
    <x v="18"/>
    <x v="26"/>
    <s v="Employee"/>
    <s v="8"/>
    <s v="ORCL EG"/>
    <s v="502416 - 3WP-EMEA Delivery Middleware - IaaS"/>
    <s v="008U"/>
    <s v="Y"/>
    <s v="Y"/>
    <s v="Unrecognized"/>
    <n v="8"/>
    <s v="AED"/>
    <n v="97.37"/>
    <n v="943.05"/>
    <n v="778.95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55151"/>
    <s v="3029666659622231"/>
    <s v="1.04.00"/>
    <s v="FP Labor - Remote Services Ctr"/>
    <s v="Labor"/>
    <s v="CO-C"/>
    <d v="2026-06-14T00:00:00"/>
    <x v="18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711217"/>
    <s v="3029667256333191"/>
    <s v="1.04.00"/>
    <s v="FP Labor - Remote Services Ctr"/>
    <s v="Labor"/>
    <s v="CO-C"/>
    <d v="2026-06-14T00:00:00"/>
    <x v="18"/>
    <x v="28"/>
    <s v="Employee"/>
    <s v="6"/>
    <s v="ORCL EG"/>
    <s v="501195 - 3LF - EMEA Apps Delivery -Fusion ERP"/>
    <s v="008U"/>
    <s v="Y"/>
    <s v="Y"/>
    <s v="Unrecognized"/>
    <n v="8"/>
    <s v="AED"/>
    <n v="84.34"/>
    <n v="754.44"/>
    <n v="674.7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783413"/>
    <s v="1542477617:1"/>
    <s v="1.04.00"/>
    <s v="FP Labor - Remote Services Ctr"/>
    <s v="Labor"/>
    <s v="CO-C"/>
    <d v="2026-06-15T00:00:00"/>
    <x v="18"/>
    <x v="27"/>
    <s v="Employee"/>
    <s v="2"/>
    <s v="ORCL IN OSSI"/>
    <s v="504826 - 1CV:GSC-Business Analytics - PaaS"/>
    <s v="09B2"/>
    <s v="Y"/>
    <s v="Y"/>
    <s v="Unrecognized"/>
    <n v="8"/>
    <s v="AED"/>
    <n v="35.770000000000003"/>
    <n v="353.64"/>
    <n v="286.1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11800"/>
    <s v="3029664179791981"/>
    <s v="1.04.00"/>
    <s v="FP Labor - Remote Services Ctr"/>
    <s v="Labor"/>
    <s v="CO-C"/>
    <d v="2026-06-15T00:00:00"/>
    <x v="18"/>
    <x v="26"/>
    <s v="Employee"/>
    <s v="8"/>
    <s v="ORCL EG"/>
    <s v="502416 - 3WP-EMEA Delivery Middleware - IaaS"/>
    <s v="008U"/>
    <s v="Y"/>
    <s v="Y"/>
    <s v="Unrecognized"/>
    <n v="8"/>
    <s v="AED"/>
    <n v="97.37"/>
    <n v="943.05"/>
    <n v="778.95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297580"/>
    <s v="1543269156:1"/>
    <s v="1.04.00"/>
    <s v="FP Labor - Remote Services Ctr"/>
    <s v="Labor"/>
    <s v="CO-C"/>
    <d v="2026-06-15T00:00:00"/>
    <x v="18"/>
    <x v="20"/>
    <s v="Employee"/>
    <s v="6"/>
    <s v="ORCL IN OSSI"/>
    <s v="504826 - 1CV:GSC-Business Analytics - PaaS"/>
    <s v="09B3"/>
    <s v="Y"/>
    <s v="Y"/>
    <s v="Unrecognized"/>
    <n v="4"/>
    <s v="AED"/>
    <n v="108.47"/>
    <n v="754.44"/>
    <n v="433.8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55149"/>
    <s v="3029666659622251"/>
    <s v="1.04.00"/>
    <s v="FP Labor - Remote Services Ctr"/>
    <s v="Labor"/>
    <s v="CO-C"/>
    <d v="2026-06-15T00:00:00"/>
    <x v="18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81082"/>
    <s v="1542756489:1"/>
    <s v="1.04.00"/>
    <s v="FP Labor - Remote Services Ctr"/>
    <s v="Labor"/>
    <s v="CO-C"/>
    <d v="2026-06-15T00:00:00"/>
    <x v="18"/>
    <x v="3"/>
    <s v="Employee"/>
    <s v="7"/>
    <s v="ORCL IN OSSI"/>
    <s v="504826 - 1CV:GSC-Business Analytics - PaaS"/>
    <s v="009B"/>
    <s v="Y"/>
    <s v="Y"/>
    <s v="Unrecognized"/>
    <n v="4"/>
    <s v="AED"/>
    <n v="108.47"/>
    <n v="813.38"/>
    <n v="433.87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786949"/>
    <s v="1540836382:1"/>
    <s v="1.04.00"/>
    <s v="FP Labor - Remote Services Ctr"/>
    <s v="Labor"/>
    <s v="CO-C"/>
    <d v="2026-06-15T00:00:00"/>
    <x v="18"/>
    <x v="25"/>
    <s v="Employee"/>
    <s v="2"/>
    <s v="ORCL IN OSSI"/>
    <s v="504826 - 1CV:GSC-Business Analytics - PaaS"/>
    <s v="009B"/>
    <s v="Y"/>
    <s v="Y"/>
    <s v="Unrecognized"/>
    <n v="8"/>
    <s v="AED"/>
    <n v="35.770000000000003"/>
    <n v="353.64"/>
    <n v="286.1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782939"/>
    <s v="1541506155:1"/>
    <s v="1.04.00"/>
    <s v="FP Labor - Remote Services Ctr"/>
    <s v="Labor"/>
    <s v="CO-C"/>
    <d v="2026-06-15T00:00:00"/>
    <x v="18"/>
    <x v="21"/>
    <s v="Employee"/>
    <s v="5"/>
    <s v="ORCL IN OSSI"/>
    <s v="504826 - 1CV:GSC-Business Analytics - PaaS"/>
    <s v="09B1"/>
    <s v="Y"/>
    <s v="Y"/>
    <s v="Unrecognized"/>
    <n v="8"/>
    <s v="AED"/>
    <n v="67.5"/>
    <n v="660.13"/>
    <n v="540.03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39448"/>
    <s v="1542477618:1"/>
    <s v="1.04.00"/>
    <s v="FP Labor - Remote Services Ctr"/>
    <s v="Labor"/>
    <s v="CO-C"/>
    <d v="2026-06-16T00:00:00"/>
    <x v="18"/>
    <x v="27"/>
    <s v="Employee"/>
    <s v="2"/>
    <s v="ORCL IN OSSI"/>
    <s v="504826 - 1CV:GSC-Business Analytics - PaaS"/>
    <s v="09B2"/>
    <s v="Y"/>
    <s v="Y"/>
    <s v="Unrecognized"/>
    <n v="8"/>
    <s v="AED"/>
    <n v="35.92"/>
    <n v="353.64"/>
    <n v="287.38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42918"/>
    <s v="3029664179792001"/>
    <s v="1.04.00"/>
    <s v="FP Labor - Remote Services Ctr"/>
    <s v="Labor"/>
    <s v="CO-C"/>
    <d v="2026-06-16T00:00:00"/>
    <x v="18"/>
    <x v="26"/>
    <s v="Employee"/>
    <s v="8"/>
    <s v="ORCL EG"/>
    <s v="502416 - 3WP-EMEA Delivery Middleware - IaaS"/>
    <s v="008U"/>
    <s v="Y"/>
    <s v="Y"/>
    <s v="Unrecognized"/>
    <n v="8"/>
    <s v="AED"/>
    <n v="100.39"/>
    <n v="943.05"/>
    <n v="803.13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03411"/>
    <s v="1543269158:1"/>
    <s v="1.04.00"/>
    <s v="FP Labor - Remote Services Ctr"/>
    <s v="Labor"/>
    <s v="CO-C"/>
    <d v="2026-06-16T00:00:00"/>
    <x v="18"/>
    <x v="20"/>
    <s v="Employee"/>
    <s v="6"/>
    <s v="ORCL IN OSSI"/>
    <s v="504826 - 1CV:GSC-Business Analytics - PaaS"/>
    <s v="09B3"/>
    <s v="Y"/>
    <s v="Y"/>
    <s v="Unrecognized"/>
    <n v="4"/>
    <s v="AED"/>
    <n v="108.93"/>
    <n v="754.44"/>
    <n v="435.7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55144"/>
    <s v="3029666659622271"/>
    <s v="1.04.00"/>
    <s v="FP Labor - Remote Services Ctr"/>
    <s v="Labor"/>
    <s v="CO-C"/>
    <d v="2026-06-16T00:00:00"/>
    <x v="18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711215"/>
    <s v="3029663851883312"/>
    <s v="1.04.00"/>
    <s v="FP Labor - Remote Services Ctr"/>
    <s v="Labor"/>
    <s v="CO-C"/>
    <d v="2026-06-16T00:00:00"/>
    <x v="18"/>
    <x v="28"/>
    <s v="Employee"/>
    <s v="6"/>
    <s v="ORCL EG"/>
    <s v="501195 - 3LF - EMEA Apps Delivery -Fusion ERP"/>
    <s v="008U"/>
    <s v="Y"/>
    <s v="Y"/>
    <s v="Unrecognized"/>
    <n v="4"/>
    <s v="AED"/>
    <n v="86.96"/>
    <n v="754.44"/>
    <n v="347.82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80722"/>
    <s v="1542756478:1"/>
    <s v="1.04.00"/>
    <s v="FP Labor - Remote Services Ctr"/>
    <s v="Labor"/>
    <s v="CO-C"/>
    <d v="2026-06-16T00:00:00"/>
    <x v="18"/>
    <x v="3"/>
    <s v="Employee"/>
    <s v="7"/>
    <s v="ORCL IN OSSI"/>
    <s v="504826 - 1CV:GSC-Business Analytics - PaaS"/>
    <s v="009B"/>
    <s v="Y"/>
    <s v="Y"/>
    <s v="Unrecognized"/>
    <n v="4"/>
    <s v="AED"/>
    <n v="108.93"/>
    <n v="813.38"/>
    <n v="435.7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39259"/>
    <s v="1540836383:1"/>
    <s v="1.04.00"/>
    <s v="FP Labor - Remote Services Ctr"/>
    <s v="Labor"/>
    <s v="CO-C"/>
    <d v="2026-06-16T00:00:00"/>
    <x v="18"/>
    <x v="25"/>
    <s v="Employee"/>
    <s v="2"/>
    <s v="ORCL IN OSSI"/>
    <s v="504826 - 1CV:GSC-Business Analytics - PaaS"/>
    <s v="009B"/>
    <s v="Y"/>
    <s v="Y"/>
    <s v="Unrecognized"/>
    <n v="8"/>
    <s v="AED"/>
    <n v="35.92"/>
    <n v="353.64"/>
    <n v="287.38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39036"/>
    <s v="1541506159:1"/>
    <s v="1.04.00"/>
    <s v="FP Labor - Remote Services Ctr"/>
    <s v="Labor"/>
    <s v="CO-C"/>
    <d v="2026-06-16T00:00:00"/>
    <x v="18"/>
    <x v="21"/>
    <s v="Employee"/>
    <s v="5"/>
    <s v="ORCL IN OSSI"/>
    <s v="504826 - 1CV:GSC-Business Analytics - PaaS"/>
    <s v="09B1"/>
    <s v="Y"/>
    <s v="Y"/>
    <s v="Unrecognized"/>
    <n v="8"/>
    <s v="AED"/>
    <n v="67.790000000000006"/>
    <n v="660.13"/>
    <n v="542.32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80489"/>
    <s v="1542477619:1"/>
    <s v="1.04.00"/>
    <s v="FP Labor - Remote Services Ctr"/>
    <s v="Labor"/>
    <s v="CO-C"/>
    <d v="2026-06-17T00:00:00"/>
    <x v="18"/>
    <x v="27"/>
    <s v="Employee"/>
    <s v="2"/>
    <s v="ORCL IN OSSI"/>
    <s v="504826 - 1CV:GSC-Business Analytics - PaaS"/>
    <s v="09B2"/>
    <s v="Y"/>
    <s v="Y"/>
    <s v="Unrecognized"/>
    <n v="8"/>
    <s v="AED"/>
    <n v="35.92"/>
    <n v="353.64"/>
    <n v="287.38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86950"/>
    <s v="3029664179792031"/>
    <s v="1.04.00"/>
    <s v="FP Labor - Remote Services Ctr"/>
    <s v="Labor"/>
    <s v="CO-C"/>
    <d v="2026-06-17T00:00:00"/>
    <x v="18"/>
    <x v="26"/>
    <s v="Employee"/>
    <s v="8"/>
    <s v="ORCL EG"/>
    <s v="502416 - 3WP-EMEA Delivery Middleware - IaaS"/>
    <s v="008U"/>
    <s v="Y"/>
    <s v="Y"/>
    <s v="Unrecognized"/>
    <n v="4"/>
    <s v="AED"/>
    <n v="100.39"/>
    <n v="943.05"/>
    <n v="401.56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297864"/>
    <s v="1543269160:1"/>
    <s v="1.04.00"/>
    <s v="FP Labor - Remote Services Ctr"/>
    <s v="Labor"/>
    <s v="CO-C"/>
    <d v="2026-06-17T00:00:00"/>
    <x v="18"/>
    <x v="20"/>
    <s v="Employee"/>
    <s v="6"/>
    <s v="ORCL IN OSSI"/>
    <s v="504826 - 1CV:GSC-Business Analytics - PaaS"/>
    <s v="09B3"/>
    <s v="Y"/>
    <s v="Y"/>
    <s v="Unrecognized"/>
    <n v="4"/>
    <s v="AED"/>
    <n v="108.93"/>
    <n v="754.44"/>
    <n v="435.7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55143"/>
    <s v="3029666659622291"/>
    <s v="1.04.00"/>
    <s v="FP Labor - Remote Services Ctr"/>
    <s v="Labor"/>
    <s v="CO-C"/>
    <d v="2026-06-17T00:00:00"/>
    <x v="18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711197"/>
    <s v="3029663851883342"/>
    <s v="1.04.00"/>
    <s v="FP Labor - Remote Services Ctr"/>
    <s v="Labor"/>
    <s v="CO-C"/>
    <d v="2026-06-17T00:00:00"/>
    <x v="18"/>
    <x v="28"/>
    <s v="Employee"/>
    <s v="6"/>
    <s v="ORCL EG"/>
    <s v="501195 - 3LF - EMEA Apps Delivery -Fusion ERP"/>
    <s v="008U"/>
    <s v="Y"/>
    <s v="Y"/>
    <s v="Unrecognized"/>
    <n v="8"/>
    <s v="AED"/>
    <n v="86.96"/>
    <n v="754.44"/>
    <n v="695.65"/>
    <n v="0"/>
    <n v="6035.4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80987"/>
    <s v="1542756480:1"/>
    <s v="1.04.00"/>
    <s v="FP Labor - Remote Services Ctr"/>
    <s v="Labor"/>
    <s v="CO-C"/>
    <d v="2026-06-17T00:00:00"/>
    <x v="18"/>
    <x v="3"/>
    <s v="Employee"/>
    <s v="7"/>
    <s v="ORCL IN OSSI"/>
    <s v="504826 - 1CV:GSC-Business Analytics - PaaS"/>
    <s v="009B"/>
    <s v="Y"/>
    <s v="Y"/>
    <s v="Unrecognized"/>
    <n v="4"/>
    <s v="AED"/>
    <n v="108.93"/>
    <n v="813.38"/>
    <n v="435.7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82396"/>
    <s v="1540836384:1"/>
    <s v="1.04.00"/>
    <s v="FP Labor - Remote Services Ctr"/>
    <s v="Labor"/>
    <s v="CO-C"/>
    <d v="2026-06-17T00:00:00"/>
    <x v="18"/>
    <x v="25"/>
    <s v="Employee"/>
    <s v="2"/>
    <s v="ORCL IN OSSI"/>
    <s v="504826 - 1CV:GSC-Business Analytics - PaaS"/>
    <s v="009B"/>
    <s v="Y"/>
    <s v="Y"/>
    <s v="Unrecognized"/>
    <n v="8"/>
    <s v="AED"/>
    <n v="35.92"/>
    <n v="353.64"/>
    <n v="287.38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881382"/>
    <s v="1541506165:1"/>
    <s v="1.04.00"/>
    <s v="FP Labor - Remote Services Ctr"/>
    <s v="Labor"/>
    <s v="CO-C"/>
    <d v="2026-06-17T00:00:00"/>
    <x v="18"/>
    <x v="21"/>
    <s v="Employee"/>
    <s v="5"/>
    <s v="ORCL IN OSSI"/>
    <s v="504826 - 1CV:GSC-Business Analytics - PaaS"/>
    <s v="09B1"/>
    <s v="Y"/>
    <s v="Y"/>
    <s v="Unrecognized"/>
    <n v="8"/>
    <s v="AED"/>
    <n v="67.790000000000006"/>
    <n v="660.13"/>
    <n v="542.32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977757"/>
    <s v="1542477620:1"/>
    <s v="1.04.00"/>
    <s v="FP Labor - Remote Services Ctr"/>
    <s v="Labor"/>
    <s v="CO-C"/>
    <d v="2026-06-18T00:00:00"/>
    <x v="18"/>
    <x v="27"/>
    <s v="Employee"/>
    <s v="2"/>
    <s v="ORCL IN OSSI"/>
    <s v="504826 - 1CV:GSC-Business Analytics - PaaS"/>
    <s v="09B2"/>
    <s v="Y"/>
    <s v="Y"/>
    <s v="Unrecognized"/>
    <n v="8"/>
    <s v="AED"/>
    <n v="35.99"/>
    <n v="353.64"/>
    <n v="287.9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297333"/>
    <s v="1543269162:1"/>
    <s v="1.04.00"/>
    <s v="FP Labor - Remote Services Ctr"/>
    <s v="Labor"/>
    <s v="CO-C"/>
    <d v="2026-06-18T00:00:00"/>
    <x v="18"/>
    <x v="20"/>
    <s v="Employee"/>
    <s v="6"/>
    <s v="ORCL IN OSSI"/>
    <s v="504826 - 1CV:GSC-Business Analytics - PaaS"/>
    <s v="09B3"/>
    <s v="Y"/>
    <s v="Y"/>
    <s v="Unrecognized"/>
    <n v="4"/>
    <s v="AED"/>
    <n v="109.14"/>
    <n v="754.44"/>
    <n v="436.55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984019"/>
    <s v="1542756482:1"/>
    <s v="1.04.00"/>
    <s v="FP Labor - Remote Services Ctr"/>
    <s v="Labor"/>
    <s v="CO-C"/>
    <d v="2026-06-18T00:00:00"/>
    <x v="18"/>
    <x v="3"/>
    <s v="Employee"/>
    <s v="7"/>
    <s v="ORCL IN OSSI"/>
    <s v="504826 - 1CV:GSC-Business Analytics - PaaS"/>
    <s v="009B"/>
    <s v="Y"/>
    <s v="Y"/>
    <s v="Unrecognized"/>
    <n v="4"/>
    <s v="AED"/>
    <n v="109.14"/>
    <n v="813.38"/>
    <n v="436.55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971129"/>
    <s v="1540836385:1"/>
    <s v="1.04.00"/>
    <s v="FP Labor - Remote Services Ctr"/>
    <s v="Labor"/>
    <s v="CO-C"/>
    <d v="2026-06-18T00:00:00"/>
    <x v="18"/>
    <x v="25"/>
    <s v="Employee"/>
    <s v="2"/>
    <s v="ORCL IN OSSI"/>
    <s v="504826 - 1CV:GSC-Business Analytics - PaaS"/>
    <s v="009B"/>
    <s v="Y"/>
    <s v="Y"/>
    <s v="Unrecognized"/>
    <n v="8"/>
    <s v="AED"/>
    <n v="35.99"/>
    <n v="353.64"/>
    <n v="287.9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2983896"/>
    <s v="1541506171:1"/>
    <s v="1.04.00"/>
    <s v="FP Labor - Remote Services Ctr"/>
    <s v="Labor"/>
    <s v="CO-C"/>
    <d v="2026-06-18T00:00:00"/>
    <x v="18"/>
    <x v="21"/>
    <s v="Employee"/>
    <s v="5"/>
    <s v="ORCL IN OSSI"/>
    <s v="504826 - 1CV:GSC-Business Analytics - PaaS"/>
    <s v="09B1"/>
    <s v="Y"/>
    <s v="Y"/>
    <s v="Unrecognized"/>
    <n v="8"/>
    <s v="AED"/>
    <n v="67.92"/>
    <n v="660.13"/>
    <n v="543.37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142102"/>
    <s v="1542477621:1"/>
    <s v="1.04.00"/>
    <s v="FP Labor - Remote Services Ctr"/>
    <s v="Labor"/>
    <s v="CO-C"/>
    <d v="2026-06-19T00:00:00"/>
    <x v="18"/>
    <x v="27"/>
    <s v="Employee"/>
    <s v="2"/>
    <s v="ORCL IN OSSI"/>
    <s v="504826 - 1CV:GSC-Business Analytics - PaaS"/>
    <s v="09B2"/>
    <s v="Y"/>
    <s v="Y"/>
    <s v="Unrecognized"/>
    <n v="8"/>
    <s v="AED"/>
    <n v="36.07"/>
    <n v="353.64"/>
    <n v="288.5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290621"/>
    <s v="1543269164:1"/>
    <s v="1.04.00"/>
    <s v="FP Labor - Remote Services Ctr"/>
    <s v="Labor"/>
    <s v="CO-C"/>
    <d v="2026-06-19T00:00:00"/>
    <x v="18"/>
    <x v="20"/>
    <s v="Employee"/>
    <s v="6"/>
    <s v="ORCL IN OSSI"/>
    <s v="504826 - 1CV:GSC-Business Analytics - PaaS"/>
    <s v="09B3"/>
    <s v="Y"/>
    <s v="Y"/>
    <s v="Unrecognized"/>
    <n v="4"/>
    <s v="AED"/>
    <n v="109.37"/>
    <n v="754.44"/>
    <n v="437.49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140172"/>
    <s v="1542756484:1"/>
    <s v="1.04.00"/>
    <s v="FP Labor - Remote Services Ctr"/>
    <s v="Labor"/>
    <s v="CO-C"/>
    <d v="2026-06-19T00:00:00"/>
    <x v="18"/>
    <x v="3"/>
    <s v="Employee"/>
    <s v="7"/>
    <s v="ORCL IN OSSI"/>
    <s v="504826 - 1CV:GSC-Business Analytics - PaaS"/>
    <s v="009B"/>
    <s v="Y"/>
    <s v="Y"/>
    <s v="Unrecognized"/>
    <n v="4"/>
    <s v="AED"/>
    <n v="109.37"/>
    <n v="813.38"/>
    <n v="437.49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135855"/>
    <s v="1540836386:1"/>
    <s v="1.04.00"/>
    <s v="FP Labor - Remote Services Ctr"/>
    <s v="Labor"/>
    <s v="CO-C"/>
    <d v="2026-06-19T00:00:00"/>
    <x v="18"/>
    <x v="25"/>
    <s v="Employee"/>
    <s v="2"/>
    <s v="ORCL IN OSSI"/>
    <s v="504826 - 1CV:GSC-Business Analytics - PaaS"/>
    <s v="009B"/>
    <s v="Y"/>
    <s v="Y"/>
    <s v="Unrecognized"/>
    <n v="8"/>
    <s v="AED"/>
    <n v="36.07"/>
    <n v="353.64"/>
    <n v="288.5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143440"/>
    <s v="1541506175:1"/>
    <s v="1.04.00"/>
    <s v="FP Labor - Remote Services Ctr"/>
    <s v="Labor"/>
    <s v="CO-C"/>
    <d v="2026-06-19T00:00:00"/>
    <x v="18"/>
    <x v="21"/>
    <s v="Employee"/>
    <s v="5"/>
    <s v="ORCL IN OSSI"/>
    <s v="504826 - 1CV:GSC-Business Analytics - PaaS"/>
    <s v="09B1"/>
    <s v="Y"/>
    <s v="Y"/>
    <s v="Unrecognized"/>
    <n v="8"/>
    <s v="AED"/>
    <n v="68.069999999999993"/>
    <n v="660.13"/>
    <n v="544.5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622298"/>
    <s v="3029666947529061"/>
    <s v="1.04.00"/>
    <s v="FP Labor - Remote Services Ctr"/>
    <s v="Labor"/>
    <s v="CO-C"/>
    <d v="2026-06-21T00:00:00"/>
    <x v="19"/>
    <x v="26"/>
    <s v="Employee"/>
    <s v="8"/>
    <s v="ORCL EG"/>
    <s v="502416 - 3WP-EMEA Delivery Middleware - IaaS"/>
    <s v="008U"/>
    <s v="Y"/>
    <s v="Y"/>
    <s v="Unrecognized"/>
    <n v="8"/>
    <s v="AED"/>
    <n v="101.4"/>
    <n v="943.05"/>
    <n v="811.17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55169"/>
    <s v="3029666658349031"/>
    <s v="1.04.00"/>
    <s v="FP Labor - Remote Services Ctr"/>
    <s v="Labor"/>
    <s v="CO-C"/>
    <d v="2026-06-21T00:00:00"/>
    <x v="19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08024"/>
    <s v="1543275439:2"/>
    <s v="1.04.00"/>
    <s v="FP Labor - Remote Services Ctr"/>
    <s v="Labor"/>
    <s v="CO-C"/>
    <d v="2026-06-22T00:00:00"/>
    <x v="19"/>
    <x v="27"/>
    <s v="Employee"/>
    <s v="2"/>
    <s v="ORCL IN OSSI"/>
    <s v="504826 - 1CV:GSC-Business Analytics - PaaS"/>
    <s v="09B2"/>
    <s v="Y"/>
    <s v="Y"/>
    <s v="Unrecognized"/>
    <n v="8"/>
    <s v="AED"/>
    <n v="36.07"/>
    <n v="353.64"/>
    <n v="288.5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622297"/>
    <s v="3029666947529081"/>
    <s v="1.04.00"/>
    <s v="FP Labor - Remote Services Ctr"/>
    <s v="Labor"/>
    <s v="CO-C"/>
    <d v="2026-06-22T00:00:00"/>
    <x v="19"/>
    <x v="26"/>
    <s v="Employee"/>
    <s v="8"/>
    <s v="ORCL EG"/>
    <s v="502416 - 3WP-EMEA Delivery Middleware - IaaS"/>
    <s v="008U"/>
    <s v="Y"/>
    <s v="Y"/>
    <s v="Unrecognized"/>
    <n v="8"/>
    <s v="AED"/>
    <n v="101.4"/>
    <n v="943.05"/>
    <n v="811.17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290345"/>
    <s v="1543269023:2"/>
    <s v="1.04.00"/>
    <s v="FP Labor - Remote Services Ctr"/>
    <s v="Labor"/>
    <s v="CO-C"/>
    <d v="2026-06-22T00:00:00"/>
    <x v="19"/>
    <x v="20"/>
    <s v="Employee"/>
    <s v="6"/>
    <s v="ORCL IN OSSI"/>
    <s v="504826 - 1CV:GSC-Business Analytics - PaaS"/>
    <s v="09B3"/>
    <s v="Y"/>
    <s v="Y"/>
    <s v="Unrecognized"/>
    <n v="4"/>
    <s v="AED"/>
    <n v="109.37"/>
    <n v="754.44"/>
    <n v="437.49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55168"/>
    <s v="3029666658349051"/>
    <s v="1.04.00"/>
    <s v="FP Labor - Remote Services Ctr"/>
    <s v="Labor"/>
    <s v="CO-C"/>
    <d v="2026-06-22T00:00:00"/>
    <x v="19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290551"/>
    <s v="1542756508:1"/>
    <s v="1.04.00"/>
    <s v="FP Labor - Remote Services Ctr"/>
    <s v="Labor"/>
    <s v="CO-C"/>
    <d v="2026-06-22T00:00:00"/>
    <x v="19"/>
    <x v="3"/>
    <s v="Employee"/>
    <s v="7"/>
    <s v="ORCL IN OSSI"/>
    <s v="504826 - 1CV:GSC-Business Analytics - PaaS"/>
    <s v="009B"/>
    <s v="Y"/>
    <s v="Y"/>
    <s v="Unrecognized"/>
    <n v="4"/>
    <s v="AED"/>
    <n v="109.37"/>
    <n v="813.38"/>
    <n v="437.49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03702"/>
    <s v="1542784734:1"/>
    <s v="1.04.00"/>
    <s v="FP Labor - Remote Services Ctr"/>
    <s v="Labor"/>
    <s v="CO-C"/>
    <d v="2026-06-22T00:00:00"/>
    <x v="19"/>
    <x v="25"/>
    <s v="Employee"/>
    <s v="2"/>
    <s v="ORCL IN OSSI"/>
    <s v="504826 - 1CV:GSC-Business Analytics - PaaS"/>
    <s v="009B"/>
    <s v="Y"/>
    <s v="Y"/>
    <s v="Unrecognized"/>
    <n v="8"/>
    <s v="AED"/>
    <n v="36.07"/>
    <n v="353.64"/>
    <n v="288.5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03653"/>
    <s v="1541506193:1"/>
    <s v="1.04.00"/>
    <s v="FP Labor - Remote Services Ctr"/>
    <s v="Labor"/>
    <s v="CO-C"/>
    <d v="2026-06-22T00:00:00"/>
    <x v="19"/>
    <x v="21"/>
    <s v="Employee"/>
    <s v="5"/>
    <s v="ORCL IN OSSI"/>
    <s v="504826 - 1CV:GSC-Business Analytics - PaaS"/>
    <s v="09B1"/>
    <s v="Y"/>
    <s v="Y"/>
    <s v="Unrecognized"/>
    <n v="8"/>
    <s v="AED"/>
    <n v="68.069999999999993"/>
    <n v="660.13"/>
    <n v="544.5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82305"/>
    <s v="1543275440:2"/>
    <s v="1.04.00"/>
    <s v="FP Labor - Remote Services Ctr"/>
    <s v="Labor"/>
    <s v="CO-C"/>
    <d v="2026-06-23T00:00:00"/>
    <x v="19"/>
    <x v="27"/>
    <s v="Employee"/>
    <s v="2"/>
    <s v="ORCL IN OSSI"/>
    <s v="504826 - 1CV:GSC-Business Analytics - PaaS"/>
    <s v="09B2"/>
    <s v="Y"/>
    <s v="Y"/>
    <s v="Unrecognized"/>
    <n v="8"/>
    <s v="AED"/>
    <n v="36.07"/>
    <n v="353.64"/>
    <n v="288.5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622296"/>
    <s v="3029666947529101"/>
    <s v="1.04.00"/>
    <s v="FP Labor - Remote Services Ctr"/>
    <s v="Labor"/>
    <s v="CO-C"/>
    <d v="2026-06-23T00:00:00"/>
    <x v="19"/>
    <x v="26"/>
    <s v="Employee"/>
    <s v="8"/>
    <s v="ORCL EG"/>
    <s v="502416 - 3WP-EMEA Delivery Middleware - IaaS"/>
    <s v="008U"/>
    <s v="Y"/>
    <s v="Y"/>
    <s v="Unrecognized"/>
    <n v="8"/>
    <s v="AED"/>
    <n v="101.4"/>
    <n v="943.05"/>
    <n v="811.17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82186"/>
    <s v="1543269025:2"/>
    <s v="1.04.00"/>
    <s v="FP Labor - Remote Services Ctr"/>
    <s v="Labor"/>
    <s v="CO-C"/>
    <d v="2026-06-23T00:00:00"/>
    <x v="19"/>
    <x v="20"/>
    <s v="Employee"/>
    <s v="6"/>
    <s v="ORCL IN OSSI"/>
    <s v="504826 - 1CV:GSC-Business Analytics - PaaS"/>
    <s v="09B3"/>
    <s v="Y"/>
    <s v="Y"/>
    <s v="Unrecognized"/>
    <n v="4"/>
    <s v="AED"/>
    <n v="109.37"/>
    <n v="754.44"/>
    <n v="437.49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55167"/>
    <s v="3029666658349071"/>
    <s v="1.04.00"/>
    <s v="FP Labor - Remote Services Ctr"/>
    <s v="Labor"/>
    <s v="CO-C"/>
    <d v="2026-06-23T00:00:00"/>
    <x v="19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78656"/>
    <s v="1542756510:1"/>
    <s v="1.04.00"/>
    <s v="FP Labor - Remote Services Ctr"/>
    <s v="Labor"/>
    <s v="CO-C"/>
    <d v="2026-06-23T00:00:00"/>
    <x v="19"/>
    <x v="3"/>
    <s v="Employee"/>
    <s v="7"/>
    <s v="ORCL IN OSSI"/>
    <s v="504826 - 1CV:GSC-Business Analytics - PaaS"/>
    <s v="009B"/>
    <s v="Y"/>
    <s v="Y"/>
    <s v="Unrecognized"/>
    <n v="4"/>
    <s v="AED"/>
    <n v="109.37"/>
    <n v="813.38"/>
    <n v="437.49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83089"/>
    <s v="1542784735:1"/>
    <s v="1.04.00"/>
    <s v="FP Labor - Remote Services Ctr"/>
    <s v="Labor"/>
    <s v="CO-C"/>
    <d v="2026-06-23T00:00:00"/>
    <x v="19"/>
    <x v="25"/>
    <s v="Employee"/>
    <s v="2"/>
    <s v="ORCL IN OSSI"/>
    <s v="504826 - 1CV:GSC-Business Analytics - PaaS"/>
    <s v="009B"/>
    <s v="Y"/>
    <s v="Y"/>
    <s v="Unrecognized"/>
    <n v="8"/>
    <s v="AED"/>
    <n v="36.07"/>
    <n v="353.64"/>
    <n v="288.5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378692"/>
    <s v="1541506197:1"/>
    <s v="1.04.00"/>
    <s v="FP Labor - Remote Services Ctr"/>
    <s v="Labor"/>
    <s v="CO-C"/>
    <d v="2026-06-23T00:00:00"/>
    <x v="19"/>
    <x v="21"/>
    <s v="Employee"/>
    <s v="5"/>
    <s v="ORCL IN OSSI"/>
    <s v="504826 - 1CV:GSC-Business Analytics - PaaS"/>
    <s v="09B1"/>
    <s v="Y"/>
    <s v="Y"/>
    <s v="Unrecognized"/>
    <n v="8"/>
    <s v="AED"/>
    <n v="68.069999999999993"/>
    <n v="660.13"/>
    <n v="544.5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63666"/>
    <s v="1543275441:2"/>
    <s v="1.04.00"/>
    <s v="FP Labor - Remote Services Ctr"/>
    <s v="Labor"/>
    <s v="CO-C"/>
    <d v="2026-06-24T00:00:00"/>
    <x v="19"/>
    <x v="27"/>
    <s v="Employee"/>
    <s v="2"/>
    <s v="ORCL IN OSSI"/>
    <s v="504826 - 1CV:GSC-Business Analytics - PaaS"/>
    <s v="09B2"/>
    <s v="Y"/>
    <s v="Y"/>
    <s v="Unrecognized"/>
    <n v="8"/>
    <s v="AED"/>
    <n v="35.92"/>
    <n v="353.64"/>
    <n v="287.3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622294"/>
    <s v="3029666947529131"/>
    <s v="1.04.00"/>
    <s v="FP Labor - Remote Services Ctr"/>
    <s v="Labor"/>
    <s v="CO-C"/>
    <d v="2026-06-24T00:00:00"/>
    <x v="19"/>
    <x v="26"/>
    <s v="Employee"/>
    <s v="8"/>
    <s v="ORCL EG"/>
    <s v="502416 - 3WP-EMEA Delivery Middleware - IaaS"/>
    <s v="008U"/>
    <s v="Y"/>
    <s v="Y"/>
    <s v="Unrecognized"/>
    <n v="4"/>
    <s v="AED"/>
    <n v="101.82"/>
    <n v="943.05"/>
    <n v="407.26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61165"/>
    <s v="1543269027:2"/>
    <s v="1.04.00"/>
    <s v="FP Labor - Remote Services Ctr"/>
    <s v="Labor"/>
    <s v="CO-C"/>
    <d v="2026-06-24T00:00:00"/>
    <x v="19"/>
    <x v="20"/>
    <s v="Employee"/>
    <s v="6"/>
    <s v="ORCL IN OSSI"/>
    <s v="504826 - 1CV:GSC-Business Analytics - PaaS"/>
    <s v="09B3"/>
    <s v="Y"/>
    <s v="Y"/>
    <s v="Unrecognized"/>
    <n v="4"/>
    <s v="AED"/>
    <n v="108.91"/>
    <n v="754.44"/>
    <n v="435.62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55166"/>
    <s v="3029666658349091"/>
    <s v="1.04.00"/>
    <s v="FP Labor - Remote Services Ctr"/>
    <s v="Labor"/>
    <s v="CO-C"/>
    <d v="2026-06-24T00:00:00"/>
    <x v="19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67853"/>
    <s v="1542756513:1"/>
    <s v="1.04.00"/>
    <s v="FP Labor - Remote Services Ctr"/>
    <s v="Labor"/>
    <s v="CO-C"/>
    <d v="2026-06-24T00:00:00"/>
    <x v="19"/>
    <x v="3"/>
    <s v="Employee"/>
    <s v="7"/>
    <s v="ORCL IN OSSI"/>
    <s v="504826 - 1CV:GSC-Business Analytics - PaaS"/>
    <s v="009B"/>
    <s v="Y"/>
    <s v="Y"/>
    <s v="Unrecognized"/>
    <n v="4"/>
    <s v="AED"/>
    <n v="108.91"/>
    <n v="813.38"/>
    <n v="435.62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63024"/>
    <s v="1542784736:1"/>
    <s v="1.04.00"/>
    <s v="FP Labor - Remote Services Ctr"/>
    <s v="Labor"/>
    <s v="CO-C"/>
    <d v="2026-06-24T00:00:00"/>
    <x v="19"/>
    <x v="25"/>
    <s v="Employee"/>
    <s v="2"/>
    <s v="ORCL IN OSSI"/>
    <s v="504826 - 1CV:GSC-Business Analytics - PaaS"/>
    <s v="009B"/>
    <s v="Y"/>
    <s v="Y"/>
    <s v="Unrecognized"/>
    <n v="8"/>
    <s v="AED"/>
    <n v="35.92"/>
    <n v="353.64"/>
    <n v="287.3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463884"/>
    <s v="1541506203:1"/>
    <s v="1.04.00"/>
    <s v="FP Labor - Remote Services Ctr"/>
    <s v="Labor"/>
    <s v="CO-C"/>
    <d v="2026-06-24T00:00:00"/>
    <x v="19"/>
    <x v="21"/>
    <s v="Employee"/>
    <s v="5"/>
    <s v="ORCL IN OSSI"/>
    <s v="504826 - 1CV:GSC-Business Analytics - PaaS"/>
    <s v="09B1"/>
    <s v="Y"/>
    <s v="Y"/>
    <s v="Unrecognized"/>
    <n v="8"/>
    <s v="AED"/>
    <n v="67.78"/>
    <n v="660.13"/>
    <n v="542.20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573519"/>
    <s v="1543275442:2"/>
    <s v="1.04.00"/>
    <s v="FP Labor - Remote Services Ctr"/>
    <s v="Labor"/>
    <s v="CO-C"/>
    <d v="2026-06-25T00:00:00"/>
    <x v="19"/>
    <x v="27"/>
    <s v="Employee"/>
    <s v="2"/>
    <s v="ORCL IN OSSI"/>
    <s v="504826 - 1CV:GSC-Business Analytics - PaaS"/>
    <s v="09B2"/>
    <s v="Y"/>
    <s v="Y"/>
    <s v="Unrecognized"/>
    <n v="8"/>
    <s v="AED"/>
    <n v="35.92"/>
    <n v="353.64"/>
    <n v="287.3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558140"/>
    <s v="1543269029:2"/>
    <s v="1.04.00"/>
    <s v="FP Labor - Remote Services Ctr"/>
    <s v="Labor"/>
    <s v="CO-C"/>
    <d v="2026-06-25T00:00:00"/>
    <x v="19"/>
    <x v="20"/>
    <s v="Employee"/>
    <s v="6"/>
    <s v="ORCL IN OSSI"/>
    <s v="504826 - 1CV:GSC-Business Analytics - PaaS"/>
    <s v="09B3"/>
    <s v="Y"/>
    <s v="Y"/>
    <s v="Unrecognized"/>
    <n v="4"/>
    <s v="AED"/>
    <n v="108.91"/>
    <n v="754.44"/>
    <n v="435.62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569773"/>
    <s v="1542756516:1"/>
    <s v="1.04.00"/>
    <s v="FP Labor - Remote Services Ctr"/>
    <s v="Labor"/>
    <s v="CO-C"/>
    <d v="2026-06-25T00:00:00"/>
    <x v="19"/>
    <x v="3"/>
    <s v="Employee"/>
    <s v="7"/>
    <s v="ORCL IN OSSI"/>
    <s v="504826 - 1CV:GSC-Business Analytics - PaaS"/>
    <s v="009B"/>
    <s v="Y"/>
    <s v="Y"/>
    <s v="Unrecognized"/>
    <n v="4"/>
    <s v="AED"/>
    <n v="108.91"/>
    <n v="813.38"/>
    <n v="435.62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539802"/>
    <s v="1542784737:1"/>
    <s v="1.04.00"/>
    <s v="FP Labor - Remote Services Ctr"/>
    <s v="Labor"/>
    <s v="CO-C"/>
    <d v="2026-06-25T00:00:00"/>
    <x v="19"/>
    <x v="25"/>
    <s v="Employee"/>
    <s v="2"/>
    <s v="ORCL IN OSSI"/>
    <s v="504826 - 1CV:GSC-Business Analytics - PaaS"/>
    <s v="009B"/>
    <s v="Y"/>
    <s v="Y"/>
    <s v="Unrecognized"/>
    <n v="8"/>
    <s v="AED"/>
    <n v="35.92"/>
    <n v="353.64"/>
    <n v="287.3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553846"/>
    <s v="1541506209:1"/>
    <s v="1.04.00"/>
    <s v="FP Labor - Remote Services Ctr"/>
    <s v="Labor"/>
    <s v="CO-C"/>
    <d v="2026-06-25T00:00:00"/>
    <x v="19"/>
    <x v="21"/>
    <s v="Employee"/>
    <s v="5"/>
    <s v="ORCL IN OSSI"/>
    <s v="504826 - 1CV:GSC-Business Analytics - PaaS"/>
    <s v="09B1"/>
    <s v="Y"/>
    <s v="Y"/>
    <s v="Unrecognized"/>
    <n v="8"/>
    <s v="AED"/>
    <n v="67.78"/>
    <n v="660.13"/>
    <n v="542.20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705749"/>
    <s v="1543275466:3"/>
    <s v="1.04.00"/>
    <s v="FP Labor - Remote Services Ctr"/>
    <s v="Labor"/>
    <s v="CO-C"/>
    <d v="2026-06-26T00:00:00"/>
    <x v="19"/>
    <x v="27"/>
    <s v="Employee"/>
    <s v="2"/>
    <s v="ORCL IN OSSI"/>
    <s v="504826 - 1CV:GSC-Business Analytics - PaaS"/>
    <s v="09B2"/>
    <s v="Y"/>
    <s v="Y"/>
    <s v="Unrecognized"/>
    <n v="8"/>
    <s v="AED"/>
    <n v="35.92"/>
    <n v="353.64"/>
    <n v="287.3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705742"/>
    <s v="1543269031:2"/>
    <s v="1.04.00"/>
    <s v="FP Labor - Remote Services Ctr"/>
    <s v="Labor"/>
    <s v="CO-C"/>
    <d v="2026-06-26T00:00:00"/>
    <x v="19"/>
    <x v="20"/>
    <s v="Employee"/>
    <s v="6"/>
    <s v="ORCL IN OSSI"/>
    <s v="504826 - 1CV:GSC-Business Analytics - PaaS"/>
    <s v="09B3"/>
    <s v="Y"/>
    <s v="Y"/>
    <s v="Unrecognized"/>
    <n v="4"/>
    <s v="AED"/>
    <n v="108.91"/>
    <n v="754.44"/>
    <n v="435.62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702778"/>
    <s v="1542756505:1"/>
    <s v="1.04.00"/>
    <s v="FP Labor - Remote Services Ctr"/>
    <s v="Labor"/>
    <s v="CO-C"/>
    <d v="2026-06-26T00:00:00"/>
    <x v="19"/>
    <x v="3"/>
    <s v="Employee"/>
    <s v="7"/>
    <s v="ORCL IN OSSI"/>
    <s v="504826 - 1CV:GSC-Business Analytics - PaaS"/>
    <s v="009B"/>
    <s v="Y"/>
    <s v="Y"/>
    <s v="Unrecognized"/>
    <n v="4"/>
    <s v="AED"/>
    <n v="108.91"/>
    <n v="813.38"/>
    <n v="435.62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705474"/>
    <s v="1542784738:1"/>
    <s v="1.04.00"/>
    <s v="FP Labor - Remote Services Ctr"/>
    <s v="Labor"/>
    <s v="CO-C"/>
    <d v="2026-06-26T00:00:00"/>
    <x v="19"/>
    <x v="25"/>
    <s v="Employee"/>
    <s v="2"/>
    <s v="ORCL IN OSSI"/>
    <s v="504826 - 1CV:GSC-Business Analytics - PaaS"/>
    <s v="009B"/>
    <s v="Y"/>
    <s v="Y"/>
    <s v="Unrecognized"/>
    <n v="8"/>
    <s v="AED"/>
    <n v="35.92"/>
    <n v="353.64"/>
    <n v="287.3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704682"/>
    <s v="1541506213:1"/>
    <s v="1.04.00"/>
    <s v="FP Labor - Remote Services Ctr"/>
    <s v="Labor"/>
    <s v="CO-C"/>
    <d v="2026-06-26T00:00:00"/>
    <x v="19"/>
    <x v="21"/>
    <s v="Employee"/>
    <s v="5"/>
    <s v="ORCL IN OSSI"/>
    <s v="504826 - 1CV:GSC-Business Analytics - PaaS"/>
    <s v="09B1"/>
    <s v="Y"/>
    <s v="Y"/>
    <s v="Unrecognized"/>
    <n v="8"/>
    <s v="AED"/>
    <n v="67.78"/>
    <n v="660.13"/>
    <n v="542.20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111411"/>
    <s v="3029669494804201"/>
    <s v="1.04.00"/>
    <s v="FP Labor - Remote Services Ctr"/>
    <s v="Labor"/>
    <s v="CO-C"/>
    <d v="2026-06-28T00:00:00"/>
    <x v="20"/>
    <x v="26"/>
    <s v="Employee"/>
    <s v="8"/>
    <s v="ORCL EG"/>
    <s v="502416 - 3WP-EMEA Delivery Middleware - IaaS"/>
    <s v="008U"/>
    <s v="Y"/>
    <s v="Y"/>
    <s v="Unrecognized"/>
    <n v="8"/>
    <s v="AED"/>
    <n v="102.33"/>
    <n v="943.05"/>
    <n v="818.6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006483"/>
    <s v="3029669443731111"/>
    <s v="1.04.00"/>
    <s v="FP Labor - Remote Services Ctr"/>
    <s v="Labor"/>
    <s v="CO-C"/>
    <d v="2026-06-29T00:00:00"/>
    <x v="20"/>
    <x v="27"/>
    <s v="Employee"/>
    <s v="2"/>
    <s v="ORCL IN OSSI"/>
    <s v="504826 - 1CV:GSC-Business Analytics - PaaS"/>
    <s v="09B2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111410"/>
    <s v="3029669494804221"/>
    <s v="1.04.00"/>
    <s v="FP Labor - Remote Services Ctr"/>
    <s v="Labor"/>
    <s v="CO-C"/>
    <d v="2026-06-29T00:00:00"/>
    <x v="20"/>
    <x v="26"/>
    <s v="Employee"/>
    <s v="8"/>
    <s v="ORCL EG"/>
    <s v="502416 - 3WP-EMEA Delivery Middleware - IaaS"/>
    <s v="008U"/>
    <s v="Y"/>
    <s v="Y"/>
    <s v="Unrecognized"/>
    <n v="8"/>
    <s v="AED"/>
    <n v="102.33"/>
    <n v="943.05"/>
    <n v="818.6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320148"/>
    <s v="3029670463087651"/>
    <s v="1.04.00"/>
    <s v="FP Labor - Remote Services Ctr"/>
    <s v="Labor"/>
    <s v="CO-C"/>
    <d v="2026-06-29T00:00:00"/>
    <x v="20"/>
    <x v="20"/>
    <s v="Employee"/>
    <s v="6"/>
    <s v="ORCL IN OSSI"/>
    <s v="504826 - 1CV:GSC-Business Analytics - PaaS"/>
    <s v="09B3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87"/>
    <s v="3029675198377461"/>
    <s v="1.04.00"/>
    <s v="FP Labor - Remote Services Ctr"/>
    <s v="Labor"/>
    <s v="CO-C"/>
    <d v="2026-06-29T00:00:00"/>
    <x v="20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982191"/>
    <s v="3029668818245101"/>
    <s v="1.04.00"/>
    <s v="FP Labor - Remote Services Ctr"/>
    <s v="Labor"/>
    <s v="CO-C"/>
    <d v="2026-06-29T00:00:00"/>
    <x v="20"/>
    <x v="3"/>
    <s v="Employee"/>
    <s v="7"/>
    <s v="ORCL IN OSSI"/>
    <s v="504826 - 1CV:GSC-Business Analytics - PaaS"/>
    <s v="009B"/>
    <s v="Y"/>
    <s v="Y"/>
    <s v="Unrecognized"/>
    <n v="4"/>
    <s v="AED"/>
    <n v="109.22"/>
    <n v="813.38"/>
    <n v="436.8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217176"/>
    <s v="3029669848286041"/>
    <s v="1.04.00"/>
    <s v="FP Labor - Remote Services Ctr"/>
    <s v="Labor"/>
    <s v="CO-C"/>
    <d v="2026-06-29T00:00:00"/>
    <x v="20"/>
    <x v="25"/>
    <s v="Employee"/>
    <s v="2"/>
    <s v="ORCL IN OSSI"/>
    <s v="504826 - 1CV:GSC-Business Analytics - PaaS"/>
    <s v="009B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839949"/>
    <s v="3029672458872061"/>
    <s v="1.04.00"/>
    <s v="FP Labor - Remote Services Ctr"/>
    <s v="Labor"/>
    <s v="CO-C"/>
    <d v="2026-06-29T00:00:00"/>
    <x v="20"/>
    <x v="21"/>
    <s v="Employee"/>
    <s v="5"/>
    <s v="ORCL IN OSSI"/>
    <s v="504826 - 1CV:GSC-Business Analytics - PaaS"/>
    <s v="09B1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006482"/>
    <s v="3029669443731131"/>
    <s v="1.04.00"/>
    <s v="FP Labor - Remote Services Ctr"/>
    <s v="Labor"/>
    <s v="CO-C"/>
    <d v="2026-06-30T00:00:00"/>
    <x v="20"/>
    <x v="27"/>
    <s v="Employee"/>
    <s v="2"/>
    <s v="ORCL IN OSSI"/>
    <s v="504826 - 1CV:GSC-Business Analytics - PaaS"/>
    <s v="09B2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111409"/>
    <s v="3029669494804241"/>
    <s v="1.04.00"/>
    <s v="FP Labor - Remote Services Ctr"/>
    <s v="Labor"/>
    <s v="CO-C"/>
    <d v="2026-06-30T00:00:00"/>
    <x v="20"/>
    <x v="26"/>
    <s v="Employee"/>
    <s v="8"/>
    <s v="ORCL EG"/>
    <s v="502416 - 3WP-EMEA Delivery Middleware - IaaS"/>
    <s v="008U"/>
    <s v="Y"/>
    <s v="Y"/>
    <s v="Unrecognized"/>
    <n v="8"/>
    <s v="AED"/>
    <n v="102.33"/>
    <n v="943.05"/>
    <n v="818.6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320146"/>
    <s v="3029670463087681"/>
    <s v="1.04.00"/>
    <s v="FP Labor - Remote Services Ctr"/>
    <s v="Labor"/>
    <s v="CO-C"/>
    <d v="2026-06-30T00:00:00"/>
    <x v="20"/>
    <x v="20"/>
    <s v="Employee"/>
    <s v="6"/>
    <s v="ORCL IN OSSI"/>
    <s v="504826 - 1CV:GSC-Business Analytics - PaaS"/>
    <s v="09B3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86"/>
    <s v="3029675198377481"/>
    <s v="1.04.00"/>
    <s v="FP Labor - Remote Services Ctr"/>
    <s v="Labor"/>
    <s v="CO-C"/>
    <d v="2026-06-30T00:00:00"/>
    <x v="20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982189"/>
    <s v="3029668818245131"/>
    <s v="1.04.00"/>
    <s v="FP Labor - Remote Services Ctr"/>
    <s v="Labor"/>
    <s v="CO-C"/>
    <d v="2026-06-30T00:00:00"/>
    <x v="20"/>
    <x v="3"/>
    <s v="Employee"/>
    <s v="7"/>
    <s v="ORCL IN OSSI"/>
    <s v="504826 - 1CV:GSC-Business Analytics - PaaS"/>
    <s v="009B"/>
    <s v="Y"/>
    <s v="Y"/>
    <s v="Unrecognized"/>
    <n v="4"/>
    <s v="AED"/>
    <n v="109.22"/>
    <n v="813.38"/>
    <n v="436.8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217175"/>
    <s v="3029669848286061"/>
    <s v="1.04.00"/>
    <s v="FP Labor - Remote Services Ctr"/>
    <s v="Labor"/>
    <s v="CO-C"/>
    <d v="2026-06-30T00:00:00"/>
    <x v="20"/>
    <x v="25"/>
    <s v="Employee"/>
    <s v="2"/>
    <s v="ORCL IN OSSI"/>
    <s v="504826 - 1CV:GSC-Business Analytics - PaaS"/>
    <s v="009B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839948"/>
    <s v="3029672458872081"/>
    <s v="1.04.00"/>
    <s v="FP Labor - Remote Services Ctr"/>
    <s v="Labor"/>
    <s v="CO-C"/>
    <d v="2026-06-30T00:00:00"/>
    <x v="20"/>
    <x v="21"/>
    <s v="Employee"/>
    <s v="5"/>
    <s v="ORCL IN OSSI"/>
    <s v="504826 - 1CV:GSC-Business Analytics - PaaS"/>
    <s v="09B1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006481"/>
    <s v="3029669443731151"/>
    <s v="1.04.00"/>
    <s v="FP Labor - Remote Services Ctr"/>
    <s v="Labor"/>
    <s v="CO-C"/>
    <d v="2026-07-01T00:00:00"/>
    <x v="20"/>
    <x v="27"/>
    <s v="Employee"/>
    <s v="2"/>
    <s v="ORCL IN OSSI"/>
    <s v="504826 - 1CV:GSC-Business Analytics - PaaS"/>
    <s v="09B2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111407"/>
    <s v="3029669494804271"/>
    <s v="1.04.00"/>
    <s v="FP Labor - Remote Services Ctr"/>
    <s v="Labor"/>
    <s v="CO-C"/>
    <d v="2026-07-01T00:00:00"/>
    <x v="20"/>
    <x v="26"/>
    <s v="Employee"/>
    <s v="8"/>
    <s v="ORCL EG"/>
    <s v="502416 - 3WP-EMEA Delivery Middleware - IaaS"/>
    <s v="008U"/>
    <s v="Y"/>
    <s v="Y"/>
    <s v="Unrecognized"/>
    <n v="4"/>
    <s v="AED"/>
    <n v="102.33"/>
    <n v="943.05"/>
    <n v="409.33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320144"/>
    <s v="3029670463087711"/>
    <s v="1.04.00"/>
    <s v="FP Labor - Remote Services Ctr"/>
    <s v="Labor"/>
    <s v="CO-C"/>
    <d v="2026-07-01T00:00:00"/>
    <x v="20"/>
    <x v="20"/>
    <s v="Employee"/>
    <s v="6"/>
    <s v="ORCL IN OSSI"/>
    <s v="504826 - 1CV:GSC-Business Analytics - PaaS"/>
    <s v="09B3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75"/>
    <s v="3029675198377501"/>
    <s v="1.04.00"/>
    <s v="FP Labor - Remote Services Ctr"/>
    <s v="Labor"/>
    <s v="CO-C"/>
    <d v="2026-07-01T00:00:00"/>
    <x v="20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982076"/>
    <s v="3029668818245161"/>
    <s v="1.04.00"/>
    <s v="FP Labor - Remote Services Ctr"/>
    <s v="Labor"/>
    <s v="CO-C"/>
    <d v="2026-07-01T00:00:00"/>
    <x v="20"/>
    <x v="3"/>
    <s v="Employee"/>
    <s v="7"/>
    <s v="ORCL IN OSSI"/>
    <s v="504826 - 1CV:GSC-Business Analytics - PaaS"/>
    <s v="009B"/>
    <s v="Y"/>
    <s v="Y"/>
    <s v="Unrecognized"/>
    <n v="4"/>
    <s v="AED"/>
    <n v="109.22"/>
    <n v="813.38"/>
    <n v="436.8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217174"/>
    <s v="3029669848286081"/>
    <s v="1.04.00"/>
    <s v="FP Labor - Remote Services Ctr"/>
    <s v="Labor"/>
    <s v="CO-C"/>
    <d v="2026-07-01T00:00:00"/>
    <x v="20"/>
    <x v="25"/>
    <s v="Employee"/>
    <s v="2"/>
    <s v="ORCL IN OSSI"/>
    <s v="504826 - 1CV:GSC-Business Analytics - PaaS"/>
    <s v="009B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839947"/>
    <s v="3029672458872101"/>
    <s v="1.04.00"/>
    <s v="FP Labor - Remote Services Ctr"/>
    <s v="Labor"/>
    <s v="CO-C"/>
    <d v="2026-07-01T00:00:00"/>
    <x v="20"/>
    <x v="21"/>
    <s v="Employee"/>
    <s v="5"/>
    <s v="ORCL IN OSSI"/>
    <s v="504826 - 1CV:GSC-Business Analytics - PaaS"/>
    <s v="09B1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006456"/>
    <s v="3029669443731171"/>
    <s v="1.04.00"/>
    <s v="FP Labor - Remote Services Ctr"/>
    <s v="Labor"/>
    <s v="CO-C"/>
    <d v="2026-07-02T00:00:00"/>
    <x v="20"/>
    <x v="27"/>
    <s v="Employee"/>
    <s v="2"/>
    <s v="ORCL IN OSSI"/>
    <s v="504826 - 1CV:GSC-Business Analytics - PaaS"/>
    <s v="09B2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320142"/>
    <s v="3029670463087741"/>
    <s v="1.04.00"/>
    <s v="FP Labor - Remote Services Ctr"/>
    <s v="Labor"/>
    <s v="CO-C"/>
    <d v="2026-07-02T00:00:00"/>
    <x v="20"/>
    <x v="20"/>
    <s v="Employee"/>
    <s v="6"/>
    <s v="ORCL IN OSSI"/>
    <s v="504826 - 1CV:GSC-Business Analytics - PaaS"/>
    <s v="09B3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71"/>
    <s v="3029675198377521"/>
    <s v="1.04.00"/>
    <s v="FP Labor - Remote Services Ctr"/>
    <s v="Labor"/>
    <s v="CO-C"/>
    <d v="2026-07-02T00:00:00"/>
    <x v="20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3982082"/>
    <s v="3029668818245191"/>
    <s v="1.04.00"/>
    <s v="FP Labor - Remote Services Ctr"/>
    <s v="Labor"/>
    <s v="CO-C"/>
    <d v="2026-07-02T00:00:00"/>
    <x v="20"/>
    <x v="3"/>
    <s v="Employee"/>
    <s v="7"/>
    <s v="ORCL IN OSSI"/>
    <s v="504826 - 1CV:GSC-Business Analytics - PaaS"/>
    <s v="009B"/>
    <s v="Y"/>
    <s v="Y"/>
    <s v="Unrecognized"/>
    <n v="4"/>
    <s v="AED"/>
    <n v="109.22"/>
    <n v="813.38"/>
    <n v="436.8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217081"/>
    <s v="3029669848286101"/>
    <s v="1.04.00"/>
    <s v="FP Labor - Remote Services Ctr"/>
    <s v="Labor"/>
    <s v="CO-C"/>
    <d v="2026-07-02T00:00:00"/>
    <x v="20"/>
    <x v="25"/>
    <s v="Employee"/>
    <s v="2"/>
    <s v="ORCL IN OSSI"/>
    <s v="504826 - 1CV:GSC-Business Analytics - PaaS"/>
    <s v="009B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839946"/>
    <s v="3029672458872121"/>
    <s v="1.04.00"/>
    <s v="FP Labor - Remote Services Ctr"/>
    <s v="Labor"/>
    <s v="CO-C"/>
    <d v="2026-07-02T00:00:00"/>
    <x v="20"/>
    <x v="21"/>
    <s v="Employee"/>
    <s v="5"/>
    <s v="ORCL IN OSSI"/>
    <s v="504826 - 1CV:GSC-Business Analytics - PaaS"/>
    <s v="09B1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320090"/>
    <s v="3029670463087771"/>
    <s v="1.04.00"/>
    <s v="FP Labor - Remote Services Ctr"/>
    <s v="Labor"/>
    <s v="CO-C"/>
    <d v="2026-07-03T00:00:00"/>
    <x v="20"/>
    <x v="20"/>
    <s v="Employee"/>
    <s v="6"/>
    <s v="ORCL IN OSSI"/>
    <s v="504826 - 1CV:GSC-Business Analytics - PaaS"/>
    <s v="09B3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243274"/>
    <s v="3029668818245231"/>
    <s v="1.04.00"/>
    <s v="FP Labor - Remote Services Ctr"/>
    <s v="Labor"/>
    <s v="CO-C"/>
    <d v="2026-07-03T00:00:00"/>
    <x v="20"/>
    <x v="3"/>
    <s v="Employee"/>
    <s v="7"/>
    <s v="ORCL IN OSSI"/>
    <s v="504826 - 1CV:GSC-Business Analytics - PaaS"/>
    <s v="009B"/>
    <s v="Y"/>
    <s v="Y"/>
    <s v="Unrecognized"/>
    <n v="4"/>
    <s v="AED"/>
    <n v="109.22"/>
    <n v="813.38"/>
    <n v="436.86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217080"/>
    <s v="3029669848286121"/>
    <s v="1.04.00"/>
    <s v="FP Labor - Remote Services Ctr"/>
    <s v="Labor"/>
    <s v="CO-C"/>
    <d v="2026-07-03T00:00:00"/>
    <x v="20"/>
    <x v="25"/>
    <s v="Employee"/>
    <s v="2"/>
    <s v="ORCL IN OSSI"/>
    <s v="504826 - 1CV:GSC-Business Analytics - PaaS"/>
    <s v="009B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839877"/>
    <s v="3029672458872141"/>
    <s v="1.04.00"/>
    <s v="FP Labor - Remote Services Ctr"/>
    <s v="Labor"/>
    <s v="CO-C"/>
    <d v="2026-07-03T00:00:00"/>
    <x v="20"/>
    <x v="21"/>
    <s v="Employee"/>
    <s v="5"/>
    <s v="ORCL IN OSSI"/>
    <s v="504826 - 1CV:GSC-Business Analytics - PaaS"/>
    <s v="09B1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58757"/>
    <s v="3029671295287151"/>
    <s v="1.04.00"/>
    <s v="FP Labor - Remote Services Ctr"/>
    <s v="Labor"/>
    <s v="CO-C"/>
    <d v="2026-07-05T00:00:00"/>
    <x v="21"/>
    <x v="26"/>
    <s v="Employee"/>
    <s v="8"/>
    <s v="ORCL EG"/>
    <s v="502416 - 3WP-EMEA Delivery Middleware - IaaS"/>
    <s v="008U"/>
    <s v="Y"/>
    <s v="Y"/>
    <s v="Unrecognized"/>
    <n v="8"/>
    <s v="AED"/>
    <n v="102.33"/>
    <n v="943.05"/>
    <n v="818.6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86107"/>
    <s v="3029671379548631"/>
    <s v="1.04.00"/>
    <s v="FP Labor - Remote Services Ctr"/>
    <s v="Labor"/>
    <s v="CO-C"/>
    <d v="2026-07-06T00:00:00"/>
    <x v="21"/>
    <x v="27"/>
    <s v="Employee"/>
    <s v="2"/>
    <s v="ORCL IN OSSI"/>
    <s v="504826 - 1CV:GSC-Business Analytics - PaaS"/>
    <s v="09B2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58758"/>
    <s v="3029671295287171"/>
    <s v="1.04.00"/>
    <s v="FP Labor - Remote Services Ctr"/>
    <s v="Labor"/>
    <s v="CO-C"/>
    <d v="2026-07-06T00:00:00"/>
    <x v="21"/>
    <x v="26"/>
    <s v="Employee"/>
    <s v="8"/>
    <s v="ORCL EG"/>
    <s v="502416 - 3WP-EMEA Delivery Middleware - IaaS"/>
    <s v="008U"/>
    <s v="Y"/>
    <s v="Y"/>
    <s v="Unrecognized"/>
    <n v="8"/>
    <s v="AED"/>
    <n v="102.33"/>
    <n v="943.05"/>
    <n v="818.6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23733"/>
    <s v="3029671045152291"/>
    <s v="1.04.00"/>
    <s v="FP Labor - Remote Services Ctr"/>
    <s v="Labor"/>
    <s v="CO-C"/>
    <d v="2026-07-06T00:00:00"/>
    <x v="21"/>
    <x v="20"/>
    <s v="Employee"/>
    <s v="6"/>
    <s v="ORCL IN OSSI"/>
    <s v="504826 - 1CV:GSC-Business Analytics - PaaS"/>
    <s v="09B3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68"/>
    <s v="3029675199140431"/>
    <s v="1.04.00"/>
    <s v="FP Labor - Remote Services Ctr"/>
    <s v="Labor"/>
    <s v="CO-C"/>
    <d v="2026-07-06T00:00:00"/>
    <x v="2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85870"/>
    <s v="3029671386785911"/>
    <s v="1.04.00"/>
    <s v="FP Labor - Remote Services Ctr"/>
    <s v="Labor"/>
    <s v="CO-C"/>
    <d v="2026-07-06T00:00:00"/>
    <x v="21"/>
    <x v="25"/>
    <s v="Employee"/>
    <s v="2"/>
    <s v="ORCL IN OSSI"/>
    <s v="504826 - 1CV:GSC-Business Analytics - PaaS"/>
    <s v="009B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85806"/>
    <s v="3029671387293841"/>
    <s v="1.04.00"/>
    <s v="FP Labor - Remote Services Ctr"/>
    <s v="Labor"/>
    <s v="CO-C"/>
    <d v="2026-07-06T00:00:00"/>
    <x v="21"/>
    <x v="21"/>
    <s v="Employee"/>
    <s v="5"/>
    <s v="ORCL IN OSSI"/>
    <s v="504826 - 1CV:GSC-Business Analytics - PaaS"/>
    <s v="09B1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86106"/>
    <s v="3029671379548651"/>
    <s v="1.04.00"/>
    <s v="FP Labor - Remote Services Ctr"/>
    <s v="Labor"/>
    <s v="CO-C"/>
    <d v="2026-07-07T00:00:00"/>
    <x v="21"/>
    <x v="27"/>
    <s v="Employee"/>
    <s v="2"/>
    <s v="ORCL IN OSSI"/>
    <s v="504826 - 1CV:GSC-Business Analytics - PaaS"/>
    <s v="09B2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80807"/>
    <s v="3029671295287191"/>
    <s v="1.04.00"/>
    <s v="FP Labor - Remote Services Ctr"/>
    <s v="Labor"/>
    <s v="CO-C"/>
    <d v="2026-07-07T00:00:00"/>
    <x v="21"/>
    <x v="26"/>
    <s v="Employee"/>
    <s v="8"/>
    <s v="ORCL EG"/>
    <s v="502416 - 3WP-EMEA Delivery Middleware - IaaS"/>
    <s v="008U"/>
    <s v="Y"/>
    <s v="Y"/>
    <s v="Unrecognized"/>
    <n v="8"/>
    <s v="AED"/>
    <n v="102.33"/>
    <n v="943.05"/>
    <n v="818.6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21833"/>
    <s v="3029671045152321"/>
    <s v="1.04.00"/>
    <s v="FP Labor - Remote Services Ctr"/>
    <s v="Labor"/>
    <s v="CO-C"/>
    <d v="2026-07-07T00:00:00"/>
    <x v="21"/>
    <x v="20"/>
    <s v="Employee"/>
    <s v="6"/>
    <s v="ORCL IN OSSI"/>
    <s v="504826 - 1CV:GSC-Business Analytics - PaaS"/>
    <s v="09B3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67"/>
    <s v="3029675199140451"/>
    <s v="1.04.00"/>
    <s v="FP Labor - Remote Services Ctr"/>
    <s v="Labor"/>
    <s v="CO-C"/>
    <d v="2026-07-07T00:00:00"/>
    <x v="2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625732"/>
    <s v="3029671993937671"/>
    <s v="1.04.00"/>
    <s v="FP Labor - Remote Services Ctr"/>
    <s v="Labor"/>
    <s v="CO-C"/>
    <d v="2026-07-07T00:00:00"/>
    <x v="21"/>
    <x v="3"/>
    <s v="Employee"/>
    <s v="7"/>
    <s v="ORCL IN OSSI"/>
    <s v="504826 - 1CV:GSC-Business Analytics - PaaS"/>
    <s v="009B"/>
    <s v="Y"/>
    <s v="Y"/>
    <s v="Unrecognized"/>
    <n v="5"/>
    <s v="AED"/>
    <n v="109.21"/>
    <n v="813.38"/>
    <n v="546.0700000000000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85869"/>
    <s v="3029671386785931"/>
    <s v="1.04.00"/>
    <s v="FP Labor - Remote Services Ctr"/>
    <s v="Labor"/>
    <s v="CO-C"/>
    <d v="2026-07-07T00:00:00"/>
    <x v="21"/>
    <x v="25"/>
    <s v="Employee"/>
    <s v="2"/>
    <s v="ORCL IN OSSI"/>
    <s v="504826 - 1CV:GSC-Business Analytics - PaaS"/>
    <s v="009B"/>
    <s v="Y"/>
    <s v="Y"/>
    <s v="Unrecognized"/>
    <n v="8"/>
    <s v="AED"/>
    <n v="36.020000000000003"/>
    <n v="353.64"/>
    <n v="288.14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485805"/>
    <s v="3029671387293861"/>
    <s v="1.04.00"/>
    <s v="FP Labor - Remote Services Ctr"/>
    <s v="Labor"/>
    <s v="CO-C"/>
    <d v="2026-07-07T00:00:00"/>
    <x v="21"/>
    <x v="21"/>
    <s v="Employee"/>
    <s v="5"/>
    <s v="ORCL IN OSSI"/>
    <s v="504826 - 1CV:GSC-Business Analytics - PaaS"/>
    <s v="09B1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536579"/>
    <s v="3029671379548671"/>
    <s v="1.04.00"/>
    <s v="FP Labor - Remote Services Ctr"/>
    <s v="Labor"/>
    <s v="CO-C"/>
    <d v="2026-07-08T00:00:00"/>
    <x v="21"/>
    <x v="27"/>
    <s v="Employee"/>
    <s v="2"/>
    <s v="ORCL IN OSSI"/>
    <s v="504826 - 1CV:GSC-Business Analytics - PaaS"/>
    <s v="09B2"/>
    <s v="Y"/>
    <s v="Y"/>
    <s v="Unrecognized"/>
    <n v="8"/>
    <s v="AED"/>
    <n v="35.83"/>
    <n v="353.64"/>
    <n v="286.61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528427"/>
    <s v="3029671295287221"/>
    <s v="1.04.00"/>
    <s v="FP Labor - Remote Services Ctr"/>
    <s v="Labor"/>
    <s v="CO-C"/>
    <d v="2026-07-08T00:00:00"/>
    <x v="21"/>
    <x v="26"/>
    <s v="Employee"/>
    <s v="8"/>
    <s v="ORCL EG"/>
    <s v="502416 - 3WP-EMEA Delivery Middleware - IaaS"/>
    <s v="008U"/>
    <s v="Y"/>
    <s v="Y"/>
    <s v="Unrecognized"/>
    <n v="4"/>
    <s v="AED"/>
    <n v="103.7"/>
    <n v="943.05"/>
    <n v="414.81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530983"/>
    <s v="3029671045152351"/>
    <s v="1.04.00"/>
    <s v="FP Labor - Remote Services Ctr"/>
    <s v="Labor"/>
    <s v="CO-C"/>
    <d v="2026-07-08T00:00:00"/>
    <x v="21"/>
    <x v="20"/>
    <s v="Employee"/>
    <s v="6"/>
    <s v="ORCL IN OSSI"/>
    <s v="504826 - 1CV:GSC-Business Analytics - PaaS"/>
    <s v="09B3"/>
    <s v="Y"/>
    <s v="Y"/>
    <s v="Unrecognized"/>
    <n v="4"/>
    <s v="AED"/>
    <n v="108.64"/>
    <n v="754.44"/>
    <n v="434.54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66"/>
    <s v="3029675199140471"/>
    <s v="1.04.00"/>
    <s v="FP Labor - Remote Services Ctr"/>
    <s v="Labor"/>
    <s v="CO-C"/>
    <d v="2026-07-08T00:00:00"/>
    <x v="21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625645"/>
    <s v="3029671993937701"/>
    <s v="1.04.00"/>
    <s v="FP Labor - Remote Services Ctr"/>
    <s v="Labor"/>
    <s v="CO-C"/>
    <d v="2026-07-08T00:00:00"/>
    <x v="21"/>
    <x v="3"/>
    <s v="Employee"/>
    <s v="7"/>
    <s v="ORCL IN OSSI"/>
    <s v="504826 - 1CV:GSC-Business Analytics - PaaS"/>
    <s v="009B"/>
    <s v="Y"/>
    <s v="Y"/>
    <s v="Unrecognized"/>
    <n v="5"/>
    <s v="AED"/>
    <n v="108.64"/>
    <n v="813.38"/>
    <n v="543.1799999999999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536541"/>
    <s v="3029671386785951"/>
    <s v="1.04.00"/>
    <s v="FP Labor - Remote Services Ctr"/>
    <s v="Labor"/>
    <s v="CO-C"/>
    <d v="2026-07-08T00:00:00"/>
    <x v="21"/>
    <x v="25"/>
    <s v="Employee"/>
    <s v="2"/>
    <s v="ORCL IN OSSI"/>
    <s v="504826 - 1CV:GSC-Business Analytics - PaaS"/>
    <s v="009B"/>
    <s v="Y"/>
    <s v="Y"/>
    <s v="Unrecognized"/>
    <n v="8"/>
    <s v="AED"/>
    <n v="35.83"/>
    <n v="353.64"/>
    <n v="286.61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536859"/>
    <s v="3029671387293881"/>
    <s v="1.04.00"/>
    <s v="FP Labor - Remote Services Ctr"/>
    <s v="Labor"/>
    <s v="CO-C"/>
    <d v="2026-07-08T00:00:00"/>
    <x v="21"/>
    <x v="21"/>
    <s v="Employee"/>
    <s v="5"/>
    <s v="ORCL IN OSSI"/>
    <s v="504826 - 1CV:GSC-Business Analytics - PaaS"/>
    <s v="09B1"/>
    <s v="Y"/>
    <s v="Y"/>
    <s v="Unrecognized"/>
    <n v="8"/>
    <s v="AED"/>
    <n v="67.61"/>
    <n v="660.13"/>
    <n v="540.87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629593"/>
    <s v="3029671045152381"/>
    <s v="1.04.00"/>
    <s v="FP Labor - Remote Services Ctr"/>
    <s v="Labor"/>
    <s v="CO-C"/>
    <d v="2026-07-09T00:00:00"/>
    <x v="21"/>
    <x v="20"/>
    <s v="Employee"/>
    <s v="6"/>
    <s v="ORCL IN OSSI"/>
    <s v="504826 - 1CV:GSC-Business Analytics - PaaS"/>
    <s v="09B3"/>
    <s v="Y"/>
    <s v="Y"/>
    <s v="Unrecognized"/>
    <n v="4"/>
    <s v="AED"/>
    <n v="107.97"/>
    <n v="754.44"/>
    <n v="431.8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65"/>
    <s v="3029675199140491"/>
    <s v="1.04.00"/>
    <s v="FP Labor - Remote Services Ctr"/>
    <s v="Labor"/>
    <s v="CO-C"/>
    <d v="2026-07-09T00:00:00"/>
    <x v="21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625643"/>
    <s v="3029671993937731"/>
    <s v="1.04.00"/>
    <s v="FP Labor - Remote Services Ctr"/>
    <s v="Labor"/>
    <s v="CO-C"/>
    <d v="2026-07-09T00:00:00"/>
    <x v="21"/>
    <x v="3"/>
    <s v="Employee"/>
    <s v="7"/>
    <s v="ORCL IN OSSI"/>
    <s v="504826 - 1CV:GSC-Business Analytics - PaaS"/>
    <s v="009B"/>
    <s v="Y"/>
    <s v="Y"/>
    <s v="Unrecognized"/>
    <n v="5"/>
    <s v="AED"/>
    <n v="107.97"/>
    <n v="813.38"/>
    <n v="539.84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633330"/>
    <s v="3029671386785971"/>
    <s v="1.04.00"/>
    <s v="FP Labor - Remote Services Ctr"/>
    <s v="Labor"/>
    <s v="CO-C"/>
    <d v="2026-07-09T00:00:00"/>
    <x v="21"/>
    <x v="25"/>
    <s v="Employee"/>
    <s v="2"/>
    <s v="ORCL IN OSSI"/>
    <s v="504826 - 1CV:GSC-Business Analytics - PaaS"/>
    <s v="009B"/>
    <s v="Y"/>
    <s v="Y"/>
    <s v="Unrecognized"/>
    <n v="8"/>
    <s v="AED"/>
    <n v="35.61"/>
    <n v="353.64"/>
    <n v="284.8500000000000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629212"/>
    <s v="3029671387293901"/>
    <s v="1.04.00"/>
    <s v="FP Labor - Remote Services Ctr"/>
    <s v="Labor"/>
    <s v="CO-C"/>
    <d v="2026-07-09T00:00:00"/>
    <x v="21"/>
    <x v="21"/>
    <s v="Employee"/>
    <s v="5"/>
    <s v="ORCL IN OSSI"/>
    <s v="504826 - 1CV:GSC-Business Analytics - PaaS"/>
    <s v="09B1"/>
    <s v="Y"/>
    <s v="Y"/>
    <s v="Unrecognized"/>
    <n v="8"/>
    <s v="AED"/>
    <n v="67.19"/>
    <n v="660.13"/>
    <n v="537.5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749273"/>
    <s v="3029671379548711"/>
    <s v="1.04.00"/>
    <s v="FP Labor - Remote Services Ctr"/>
    <s v="Labor"/>
    <s v="CO-C"/>
    <d v="2026-07-10T00:00:00"/>
    <x v="21"/>
    <x v="27"/>
    <s v="Employee"/>
    <s v="2"/>
    <s v="ORCL IN OSSI"/>
    <s v="504826 - 1CV:GSC-Business Analytics - PaaS"/>
    <s v="09B2"/>
    <s v="Y"/>
    <s v="Y"/>
    <s v="Unrecognized"/>
    <n v="8"/>
    <s v="AED"/>
    <n v="35.61"/>
    <n v="353.64"/>
    <n v="284.8500000000000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755930"/>
    <s v="3029671045152411"/>
    <s v="1.04.00"/>
    <s v="FP Labor - Remote Services Ctr"/>
    <s v="Labor"/>
    <s v="CO-C"/>
    <d v="2026-07-10T00:00:00"/>
    <x v="21"/>
    <x v="20"/>
    <s v="Employee"/>
    <s v="6"/>
    <s v="ORCL IN OSSI"/>
    <s v="504826 - 1CV:GSC-Business Analytics - PaaS"/>
    <s v="09B3"/>
    <s v="Y"/>
    <s v="Y"/>
    <s v="Unrecognized"/>
    <n v="4"/>
    <s v="AED"/>
    <n v="107.97"/>
    <n v="754.44"/>
    <n v="431.8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738108"/>
    <s v="3029671993937761"/>
    <s v="1.04.00"/>
    <s v="FP Labor - Remote Services Ctr"/>
    <s v="Labor"/>
    <s v="CO-C"/>
    <d v="2026-07-10T00:00:00"/>
    <x v="21"/>
    <x v="3"/>
    <s v="Employee"/>
    <s v="7"/>
    <s v="ORCL IN OSSI"/>
    <s v="504826 - 1CV:GSC-Business Analytics - PaaS"/>
    <s v="009B"/>
    <s v="Y"/>
    <s v="Y"/>
    <s v="Unrecognized"/>
    <n v="5"/>
    <s v="AED"/>
    <n v="107.97"/>
    <n v="813.38"/>
    <n v="539.84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748373"/>
    <s v="3029671386785991"/>
    <s v="1.04.00"/>
    <s v="FP Labor - Remote Services Ctr"/>
    <s v="Labor"/>
    <s v="CO-C"/>
    <d v="2026-07-10T00:00:00"/>
    <x v="21"/>
    <x v="25"/>
    <s v="Employee"/>
    <s v="2"/>
    <s v="ORCL IN OSSI"/>
    <s v="504826 - 1CV:GSC-Business Analytics - PaaS"/>
    <s v="009B"/>
    <s v="Y"/>
    <s v="Y"/>
    <s v="Unrecognized"/>
    <n v="8"/>
    <s v="AED"/>
    <n v="35.61"/>
    <n v="353.64"/>
    <n v="284.8500000000000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4747849"/>
    <s v="3029671387293921"/>
    <s v="1.04.00"/>
    <s v="FP Labor - Remote Services Ctr"/>
    <s v="Labor"/>
    <s v="CO-C"/>
    <d v="2026-07-10T00:00:00"/>
    <x v="21"/>
    <x v="21"/>
    <s v="Employee"/>
    <s v="5"/>
    <s v="ORCL IN OSSI"/>
    <s v="504826 - 1CV:GSC-Business Analytics - PaaS"/>
    <s v="09B1"/>
    <s v="Y"/>
    <s v="Y"/>
    <s v="Unrecognized"/>
    <n v="8"/>
    <s v="AED"/>
    <n v="67.19"/>
    <n v="660.13"/>
    <n v="537.54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06242"/>
    <s v="3029675261391431"/>
    <s v="1.04.00"/>
    <s v="FP Labor - Remote Services Ctr"/>
    <s v="Labor"/>
    <s v="CO-C"/>
    <d v="2026-07-12T00:00:00"/>
    <x v="22"/>
    <x v="26"/>
    <s v="Employee"/>
    <s v="8"/>
    <s v="ORCL EG"/>
    <s v="502416 - 3WP-EMEA Delivery Middleware - IaaS"/>
    <s v="008U"/>
    <s v="Y"/>
    <s v="Y"/>
    <s v="Unrecognized"/>
    <n v="8"/>
    <s v="AED"/>
    <n v="101.85"/>
    <n v="943.05"/>
    <n v="814.7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086124"/>
    <s v="3029673217727461"/>
    <s v="1.04.00"/>
    <s v="FP Labor - Remote Services Ctr"/>
    <s v="Labor"/>
    <s v="CO-C"/>
    <d v="2026-07-13T00:00:00"/>
    <x v="22"/>
    <x v="27"/>
    <s v="Employee"/>
    <s v="2"/>
    <s v="ORCL IN OSSI"/>
    <s v="504826 - 1CV:GSC-Business Analytics - PaaS"/>
    <s v="09B2"/>
    <s v="Y"/>
    <s v="Y"/>
    <s v="Unrecognized"/>
    <n v="8"/>
    <s v="AED"/>
    <n v="35.69"/>
    <n v="353.64"/>
    <n v="285.5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06241"/>
    <s v="3029675261391451"/>
    <s v="1.04.00"/>
    <s v="FP Labor - Remote Services Ctr"/>
    <s v="Labor"/>
    <s v="CO-C"/>
    <d v="2026-07-13T00:00:00"/>
    <x v="22"/>
    <x v="26"/>
    <s v="Employee"/>
    <s v="8"/>
    <s v="ORCL EG"/>
    <s v="502416 - 3WP-EMEA Delivery Middleware - IaaS"/>
    <s v="008U"/>
    <s v="Y"/>
    <s v="Y"/>
    <s v="Unrecognized"/>
    <n v="8"/>
    <s v="AED"/>
    <n v="101.85"/>
    <n v="943.05"/>
    <n v="814.7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088415"/>
    <s v="3029673221143311"/>
    <s v="1.04.00"/>
    <s v="FP Labor - Remote Services Ctr"/>
    <s v="Labor"/>
    <s v="CO-C"/>
    <d v="2026-07-13T00:00:00"/>
    <x v="22"/>
    <x v="20"/>
    <s v="Employee"/>
    <s v="6"/>
    <s v="ORCL IN OSSI"/>
    <s v="504826 - 1CV:GSC-Business Analytics - PaaS"/>
    <s v="09B3"/>
    <s v="Y"/>
    <s v="Y"/>
    <s v="Unrecognized"/>
    <n v="4"/>
    <s v="AED"/>
    <n v="108.23"/>
    <n v="754.44"/>
    <n v="432.9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708"/>
    <s v="3029675200849851"/>
    <s v="1.04.00"/>
    <s v="FP Labor - Remote Services Ctr"/>
    <s v="Labor"/>
    <s v="CO-C"/>
    <d v="2026-07-13T00:00:00"/>
    <x v="2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33681"/>
    <s v="3029674170399091"/>
    <s v="1.04.00"/>
    <s v="FP Labor - Remote Services Ctr"/>
    <s v="Labor"/>
    <s v="CO-C"/>
    <d v="2026-07-13T00:00:00"/>
    <x v="22"/>
    <x v="3"/>
    <s v="Employee"/>
    <s v="7"/>
    <s v="ORCL IN OSSI"/>
    <s v="504826 - 1CV:GSC-Business Analytics - PaaS"/>
    <s v="009B"/>
    <s v="Y"/>
    <s v="Y"/>
    <s v="Unrecognized"/>
    <n v="4"/>
    <s v="AED"/>
    <n v="108.23"/>
    <n v="813.38"/>
    <n v="432.93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92870"/>
    <s v="3029674378196941"/>
    <s v="1.04.00"/>
    <s v="FP Labor - Remote Services Ctr"/>
    <s v="Labor"/>
    <s v="CO-C"/>
    <d v="2026-07-13T00:00:00"/>
    <x v="22"/>
    <x v="25"/>
    <s v="Employee"/>
    <s v="2"/>
    <s v="ORCL IN OSSI"/>
    <s v="504826 - 1CV:GSC-Business Analytics - PaaS"/>
    <s v="009B"/>
    <s v="Y"/>
    <s v="Y"/>
    <s v="Unrecognized"/>
    <n v="8"/>
    <s v="AED"/>
    <n v="35.69"/>
    <n v="353.64"/>
    <n v="285.5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5583"/>
    <s v="3029676317015251"/>
    <s v="1.04.00"/>
    <s v="FP Labor - Remote Services Ctr"/>
    <s v="Labor"/>
    <s v="CO-C"/>
    <d v="2026-07-13T00:00:00"/>
    <x v="22"/>
    <x v="21"/>
    <s v="Employee"/>
    <s v="5"/>
    <s v="ORCL IN OSSI"/>
    <s v="504826 - 1CV:GSC-Business Analytics - PaaS"/>
    <s v="09B1"/>
    <s v="Y"/>
    <s v="Y"/>
    <s v="Unrecognized"/>
    <n v="8"/>
    <s v="AED"/>
    <n v="67.36"/>
    <n v="660.13"/>
    <n v="538.8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144632"/>
    <s v="3029673217727481"/>
    <s v="1.04.00"/>
    <s v="FP Labor - Remote Services Ctr"/>
    <s v="Labor"/>
    <s v="CO-C"/>
    <d v="2026-07-14T00:00:00"/>
    <x v="22"/>
    <x v="27"/>
    <s v="Employee"/>
    <s v="2"/>
    <s v="ORCL IN OSSI"/>
    <s v="504826 - 1CV:GSC-Business Analytics - PaaS"/>
    <s v="09B2"/>
    <s v="Y"/>
    <s v="Y"/>
    <s v="Unrecognized"/>
    <n v="8"/>
    <s v="AED"/>
    <n v="35.58"/>
    <n v="353.64"/>
    <n v="284.64999999999998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06240"/>
    <s v="3029675261391471"/>
    <s v="1.04.00"/>
    <s v="FP Labor - Remote Services Ctr"/>
    <s v="Labor"/>
    <s v="CO-C"/>
    <d v="2026-07-14T00:00:00"/>
    <x v="22"/>
    <x v="26"/>
    <s v="Employee"/>
    <s v="8"/>
    <s v="ORCL EG"/>
    <s v="502416 - 3WP-EMEA Delivery Middleware - IaaS"/>
    <s v="008U"/>
    <s v="Y"/>
    <s v="Y"/>
    <s v="Unrecognized"/>
    <n v="8"/>
    <s v="AED"/>
    <n v="100.79"/>
    <n v="943.05"/>
    <n v="806.32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144596"/>
    <s v="3029673221143341"/>
    <s v="1.04.00"/>
    <s v="FP Labor - Remote Services Ctr"/>
    <s v="Labor"/>
    <s v="CO-C"/>
    <d v="2026-07-14T00:00:00"/>
    <x v="22"/>
    <x v="20"/>
    <s v="Employee"/>
    <s v="6"/>
    <s v="ORCL IN OSSI"/>
    <s v="504826 - 1CV:GSC-Business Analytics - PaaS"/>
    <s v="09B3"/>
    <s v="Y"/>
    <s v="Y"/>
    <s v="Unrecognized"/>
    <n v="4"/>
    <s v="AED"/>
    <n v="107.89"/>
    <n v="754.44"/>
    <n v="431.57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706"/>
    <s v="3029675200849871"/>
    <s v="1.04.00"/>
    <s v="FP Labor - Remote Services Ctr"/>
    <s v="Labor"/>
    <s v="CO-C"/>
    <d v="2026-07-14T00:00:00"/>
    <x v="2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33620"/>
    <s v="3029674170399121"/>
    <s v="1.04.00"/>
    <s v="FP Labor - Remote Services Ctr"/>
    <s v="Labor"/>
    <s v="CO-C"/>
    <d v="2026-07-14T00:00:00"/>
    <x v="22"/>
    <x v="3"/>
    <s v="Employee"/>
    <s v="7"/>
    <s v="ORCL IN OSSI"/>
    <s v="504826 - 1CV:GSC-Business Analytics - PaaS"/>
    <s v="009B"/>
    <s v="Y"/>
    <s v="Y"/>
    <s v="Unrecognized"/>
    <n v="4"/>
    <s v="AED"/>
    <n v="107.89"/>
    <n v="813.38"/>
    <n v="431.57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93356"/>
    <s v="3029674378196961"/>
    <s v="1.04.00"/>
    <s v="FP Labor - Remote Services Ctr"/>
    <s v="Labor"/>
    <s v="CO-C"/>
    <d v="2026-07-14T00:00:00"/>
    <x v="22"/>
    <x v="25"/>
    <s v="Employee"/>
    <s v="2"/>
    <s v="ORCL IN OSSI"/>
    <s v="504826 - 1CV:GSC-Business Analytics - PaaS"/>
    <s v="009B"/>
    <s v="Y"/>
    <s v="Y"/>
    <s v="Unrecognized"/>
    <n v="8"/>
    <s v="AED"/>
    <n v="35.58"/>
    <n v="353.64"/>
    <n v="284.64999999999998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5550"/>
    <s v="3029676317015271"/>
    <s v="1.04.00"/>
    <s v="FP Labor - Remote Services Ctr"/>
    <s v="Labor"/>
    <s v="CO-C"/>
    <d v="2026-07-14T00:00:00"/>
    <x v="22"/>
    <x v="21"/>
    <s v="Employee"/>
    <s v="5"/>
    <s v="ORCL IN OSSI"/>
    <s v="504826 - 1CV:GSC-Business Analytics - PaaS"/>
    <s v="09B1"/>
    <s v="Y"/>
    <s v="Y"/>
    <s v="Unrecognized"/>
    <n v="8"/>
    <s v="AED"/>
    <n v="67.150000000000006"/>
    <n v="660.13"/>
    <n v="537.16999999999996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232580"/>
    <s v="3029673217727501"/>
    <s v="1.04.00"/>
    <s v="FP Labor - Remote Services Ctr"/>
    <s v="Labor"/>
    <s v="CO-C"/>
    <d v="2026-07-15T00:00:00"/>
    <x v="22"/>
    <x v="27"/>
    <s v="Employee"/>
    <s v="2"/>
    <s v="ORCL IN OSSI"/>
    <s v="504826 - 1CV:GSC-Business Analytics - PaaS"/>
    <s v="09B2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06238"/>
    <s v="3029675261391501"/>
    <s v="1.04.00"/>
    <s v="FP Labor - Remote Services Ctr"/>
    <s v="Labor"/>
    <s v="CO-C"/>
    <d v="2026-07-15T00:00:00"/>
    <x v="22"/>
    <x v="26"/>
    <s v="Employee"/>
    <s v="8"/>
    <s v="ORCL EG"/>
    <s v="502416 - 3WP-EMEA Delivery Middleware - IaaS"/>
    <s v="008U"/>
    <s v="Y"/>
    <s v="Y"/>
    <s v="Unrecognized"/>
    <n v="4"/>
    <s v="AED"/>
    <n v="99.81"/>
    <n v="943.05"/>
    <n v="399.23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232353"/>
    <s v="3029673221143371"/>
    <s v="1.04.00"/>
    <s v="FP Labor - Remote Services Ctr"/>
    <s v="Labor"/>
    <s v="CO-C"/>
    <d v="2026-07-15T00:00:00"/>
    <x v="22"/>
    <x v="20"/>
    <s v="Employee"/>
    <s v="6"/>
    <s v="ORCL IN OSSI"/>
    <s v="504826 - 1CV:GSC-Business Analytics - PaaS"/>
    <s v="09B3"/>
    <s v="Y"/>
    <s v="Y"/>
    <s v="Unrecognized"/>
    <n v="4"/>
    <s v="AED"/>
    <n v="107.25"/>
    <n v="754.44"/>
    <n v="428.9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37"/>
    <s v="3029675200849891"/>
    <s v="1.04.00"/>
    <s v="FP Labor - Remote Services Ctr"/>
    <s v="Labor"/>
    <s v="CO-C"/>
    <d v="2026-07-15T00:00:00"/>
    <x v="2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33613"/>
    <s v="3029674170399151"/>
    <s v="1.04.00"/>
    <s v="FP Labor - Remote Services Ctr"/>
    <s v="Labor"/>
    <s v="CO-C"/>
    <d v="2026-07-15T00:00:00"/>
    <x v="22"/>
    <x v="3"/>
    <s v="Employee"/>
    <s v="7"/>
    <s v="ORCL IN OSSI"/>
    <s v="504826 - 1CV:GSC-Business Analytics - PaaS"/>
    <s v="009B"/>
    <s v="Y"/>
    <s v="Y"/>
    <s v="Unrecognized"/>
    <n v="4"/>
    <s v="AED"/>
    <n v="107.25"/>
    <n v="813.38"/>
    <n v="428.98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93355"/>
    <s v="3029674378196981"/>
    <s v="1.04.00"/>
    <s v="FP Labor - Remote Services Ctr"/>
    <s v="Labor"/>
    <s v="CO-C"/>
    <d v="2026-07-15T00:00:00"/>
    <x v="22"/>
    <x v="25"/>
    <s v="Employee"/>
    <s v="2"/>
    <s v="ORCL IN OSSI"/>
    <s v="504826 - 1CV:GSC-Business Analytics - PaaS"/>
    <s v="009B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5549"/>
    <s v="3029676317015291"/>
    <s v="1.04.00"/>
    <s v="FP Labor - Remote Services Ctr"/>
    <s v="Labor"/>
    <s v="CO-C"/>
    <d v="2026-07-15T00:00:00"/>
    <x v="22"/>
    <x v="21"/>
    <s v="Employee"/>
    <s v="5"/>
    <s v="ORCL IN OSSI"/>
    <s v="504826 - 1CV:GSC-Business Analytics - PaaS"/>
    <s v="09B1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358493"/>
    <s v="3029673217727521"/>
    <s v="1.04.00"/>
    <s v="FP Labor - Remote Services Ctr"/>
    <s v="Labor"/>
    <s v="CO-C"/>
    <d v="2026-07-16T00:00:00"/>
    <x v="22"/>
    <x v="27"/>
    <s v="Employee"/>
    <s v="2"/>
    <s v="ORCL IN OSSI"/>
    <s v="504826 - 1CV:GSC-Business Analytics - PaaS"/>
    <s v="09B2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357863"/>
    <s v="3029673221143401"/>
    <s v="1.04.00"/>
    <s v="FP Labor - Remote Services Ctr"/>
    <s v="Labor"/>
    <s v="CO-C"/>
    <d v="2026-07-16T00:00:00"/>
    <x v="22"/>
    <x v="20"/>
    <s v="Employee"/>
    <s v="6"/>
    <s v="ORCL IN OSSI"/>
    <s v="504826 - 1CV:GSC-Business Analytics - PaaS"/>
    <s v="09B3"/>
    <s v="Y"/>
    <s v="Y"/>
    <s v="Unrecognized"/>
    <n v="4"/>
    <s v="AED"/>
    <n v="107.25"/>
    <n v="754.44"/>
    <n v="428.9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36"/>
    <s v="3029675200849911"/>
    <s v="1.04.00"/>
    <s v="FP Labor - Remote Services Ctr"/>
    <s v="Labor"/>
    <s v="CO-C"/>
    <d v="2026-07-16T00:00:00"/>
    <x v="2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33618"/>
    <s v="3029674170399181"/>
    <s v="1.04.00"/>
    <s v="FP Labor - Remote Services Ctr"/>
    <s v="Labor"/>
    <s v="CO-C"/>
    <d v="2026-07-16T00:00:00"/>
    <x v="22"/>
    <x v="3"/>
    <s v="Employee"/>
    <s v="7"/>
    <s v="ORCL IN OSSI"/>
    <s v="504826 - 1CV:GSC-Business Analytics - PaaS"/>
    <s v="009B"/>
    <s v="Y"/>
    <s v="Y"/>
    <s v="Unrecognized"/>
    <n v="4"/>
    <s v="AED"/>
    <n v="107.25"/>
    <n v="813.38"/>
    <n v="428.98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93354"/>
    <s v="3029674378197001"/>
    <s v="1.04.00"/>
    <s v="FP Labor - Remote Services Ctr"/>
    <s v="Labor"/>
    <s v="CO-C"/>
    <d v="2026-07-16T00:00:00"/>
    <x v="22"/>
    <x v="25"/>
    <s v="Employee"/>
    <s v="2"/>
    <s v="ORCL IN OSSI"/>
    <s v="504826 - 1CV:GSC-Business Analytics - PaaS"/>
    <s v="009B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5487"/>
    <s v="3029676317015311"/>
    <s v="1.04.00"/>
    <s v="FP Labor - Remote Services Ctr"/>
    <s v="Labor"/>
    <s v="CO-C"/>
    <d v="2026-07-16T00:00:00"/>
    <x v="22"/>
    <x v="21"/>
    <s v="Employee"/>
    <s v="5"/>
    <s v="ORCL IN OSSI"/>
    <s v="504826 - 1CV:GSC-Business Analytics - PaaS"/>
    <s v="09B1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90869"/>
    <s v="3029673217727541"/>
    <s v="1.04.00"/>
    <s v="FP Labor - Remote Services Ctr"/>
    <s v="Labor"/>
    <s v="CO-C"/>
    <d v="2026-07-17T00:00:00"/>
    <x v="22"/>
    <x v="27"/>
    <s v="Employee"/>
    <s v="2"/>
    <s v="ORCL IN OSSI"/>
    <s v="504826 - 1CV:GSC-Business Analytics - PaaS"/>
    <s v="09B2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91066"/>
    <s v="3029673221143431"/>
    <s v="1.04.00"/>
    <s v="FP Labor - Remote Services Ctr"/>
    <s v="Labor"/>
    <s v="CO-C"/>
    <d v="2026-07-17T00:00:00"/>
    <x v="22"/>
    <x v="20"/>
    <s v="Employee"/>
    <s v="6"/>
    <s v="ORCL IN OSSI"/>
    <s v="504826 - 1CV:GSC-Business Analytics - PaaS"/>
    <s v="09B3"/>
    <s v="Y"/>
    <s v="Y"/>
    <s v="Unrecognized"/>
    <n v="4"/>
    <s v="AED"/>
    <n v="107.25"/>
    <n v="754.44"/>
    <n v="428.9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93863"/>
    <s v="3029674170399221"/>
    <s v="1.04.00"/>
    <s v="FP Labor - Remote Services Ctr"/>
    <s v="Labor"/>
    <s v="CO-C"/>
    <d v="2026-07-17T00:00:00"/>
    <x v="22"/>
    <x v="3"/>
    <s v="Employee"/>
    <s v="7"/>
    <s v="ORCL IN OSSI"/>
    <s v="504826 - 1CV:GSC-Business Analytics - PaaS"/>
    <s v="009B"/>
    <s v="Y"/>
    <s v="Y"/>
    <s v="Unrecognized"/>
    <n v="4"/>
    <s v="AED"/>
    <n v="107.25"/>
    <n v="813.38"/>
    <n v="428.98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493353"/>
    <s v="3029674378197021"/>
    <s v="1.04.00"/>
    <s v="FP Labor - Remote Services Ctr"/>
    <s v="Labor"/>
    <s v="CO-C"/>
    <d v="2026-07-17T00:00:00"/>
    <x v="22"/>
    <x v="25"/>
    <s v="Employee"/>
    <s v="2"/>
    <s v="ORCL IN OSSI"/>
    <s v="504826 - 1CV:GSC-Business Analytics - PaaS"/>
    <s v="009B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5486"/>
    <s v="3029676317015331"/>
    <s v="1.04.00"/>
    <s v="FP Labor - Remote Services Ctr"/>
    <s v="Labor"/>
    <s v="CO-C"/>
    <d v="2026-07-17T00:00:00"/>
    <x v="22"/>
    <x v="21"/>
    <s v="Employee"/>
    <s v="5"/>
    <s v="ORCL IN OSSI"/>
    <s v="504826 - 1CV:GSC-Business Analytics - PaaS"/>
    <s v="09B1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56389"/>
    <s v="3029675874434571"/>
    <s v="1.04.00"/>
    <s v="FP Labor - Remote Services Ctr"/>
    <s v="Labor"/>
    <s v="CO-C"/>
    <d v="2026-07-19T00:00:00"/>
    <x v="23"/>
    <x v="26"/>
    <s v="Employee"/>
    <s v="8"/>
    <s v="ORCL EG"/>
    <s v="502416 - 3WP-EMEA Delivery Middleware - IaaS"/>
    <s v="008U"/>
    <s v="Y"/>
    <s v="Y"/>
    <s v="Unrecognized"/>
    <n v="8"/>
    <s v="AED"/>
    <n v="99.81"/>
    <n v="943.05"/>
    <n v="798.4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00726"/>
    <s v="3029675266742981"/>
    <s v="1.04.00"/>
    <s v="FP Labor - Remote Services Ctr"/>
    <s v="Labor"/>
    <s v="CO-C"/>
    <d v="2026-07-20T00:00:00"/>
    <x v="23"/>
    <x v="27"/>
    <s v="Employee"/>
    <s v="2"/>
    <s v="ORCL IN OSSI"/>
    <s v="504826 - 1CV:GSC-Business Analytics - PaaS"/>
    <s v="09B2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56388"/>
    <s v="3029675874434591"/>
    <s v="1.04.00"/>
    <s v="FP Labor - Remote Services Ctr"/>
    <s v="Labor"/>
    <s v="CO-C"/>
    <d v="2026-07-20T00:00:00"/>
    <x v="23"/>
    <x v="26"/>
    <s v="Employee"/>
    <s v="8"/>
    <s v="ORCL EG"/>
    <s v="502416 - 3WP-EMEA Delivery Middleware - IaaS"/>
    <s v="008U"/>
    <s v="Y"/>
    <s v="Y"/>
    <s v="Unrecognized"/>
    <n v="8"/>
    <s v="AED"/>
    <n v="99.81"/>
    <n v="943.05"/>
    <n v="798.4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00128"/>
    <s v="3029675091425441"/>
    <s v="1.04.00"/>
    <s v="FP Labor - Remote Services Ctr"/>
    <s v="Labor"/>
    <s v="CO-C"/>
    <d v="2026-07-20T00:00:00"/>
    <x v="23"/>
    <x v="20"/>
    <s v="Employee"/>
    <s v="6"/>
    <s v="ORCL IN OSSI"/>
    <s v="504826 - 1CV:GSC-Business Analytics - PaaS"/>
    <s v="09B3"/>
    <s v="Y"/>
    <s v="Y"/>
    <s v="Unrecognized"/>
    <n v="4"/>
    <s v="AED"/>
    <n v="107.25"/>
    <n v="754.44"/>
    <n v="428.9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74689"/>
    <s v="3029675199727381"/>
    <s v="1.04.00"/>
    <s v="FP Labor - Remote Services Ctr"/>
    <s v="Labor"/>
    <s v="CO-C"/>
    <d v="2026-07-20T00:00:00"/>
    <x v="2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93199"/>
    <s v="3029675663092291"/>
    <s v="1.04.00"/>
    <s v="FP Labor - Remote Services Ctr"/>
    <s v="Labor"/>
    <s v="CO-C"/>
    <d v="2026-07-20T00:00:00"/>
    <x v="23"/>
    <x v="3"/>
    <s v="Employee"/>
    <s v="7"/>
    <s v="ORCL IN OSSI"/>
    <s v="504826 - 1CV:GSC-Business Analytics - PaaS"/>
    <s v="009B"/>
    <s v="Y"/>
    <s v="Y"/>
    <s v="Unrecognized"/>
    <n v="4"/>
    <s v="AED"/>
    <n v="107.25"/>
    <n v="813.38"/>
    <n v="428.98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92706"/>
    <s v="3029675971709911"/>
    <s v="1.04.00"/>
    <s v="FP Labor - Remote Services Ctr"/>
    <s v="Labor"/>
    <s v="CO-C"/>
    <d v="2026-07-20T00:00:00"/>
    <x v="23"/>
    <x v="25"/>
    <s v="Employee"/>
    <s v="2"/>
    <s v="ORCL IN OSSI"/>
    <s v="504826 - 1CV:GSC-Business Analytics - PaaS"/>
    <s v="009B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7350"/>
    <s v="3029676316130171"/>
    <s v="1.04.00"/>
    <s v="FP Labor - Remote Services Ctr"/>
    <s v="Labor"/>
    <s v="CO-C"/>
    <d v="2026-07-20T00:00:00"/>
    <x v="23"/>
    <x v="21"/>
    <s v="Employee"/>
    <s v="5"/>
    <s v="ORCL IN OSSI"/>
    <s v="504826 - 1CV:GSC-Business Analytics - PaaS"/>
    <s v="09B1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00174"/>
    <s v="3029675266743001"/>
    <s v="1.04.00"/>
    <s v="FP Labor - Remote Services Ctr"/>
    <s v="Labor"/>
    <s v="CO-C"/>
    <d v="2026-07-21T00:00:00"/>
    <x v="23"/>
    <x v="27"/>
    <s v="Employee"/>
    <s v="2"/>
    <s v="ORCL IN OSSI"/>
    <s v="504826 - 1CV:GSC-Business Analytics - PaaS"/>
    <s v="09B2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56387"/>
    <s v="3029675874434611"/>
    <s v="1.04.00"/>
    <s v="FP Labor - Remote Services Ctr"/>
    <s v="Labor"/>
    <s v="CO-C"/>
    <d v="2026-07-21T00:00:00"/>
    <x v="23"/>
    <x v="26"/>
    <s v="Employee"/>
    <s v="8"/>
    <s v="ORCL EG"/>
    <s v="502416 - 3WP-EMEA Delivery Middleware - IaaS"/>
    <s v="008U"/>
    <s v="Y"/>
    <s v="Y"/>
    <s v="Unrecognized"/>
    <n v="8"/>
    <s v="AED"/>
    <n v="99.81"/>
    <n v="943.05"/>
    <n v="798.46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00156"/>
    <s v="3029675091425471"/>
    <s v="1.04.00"/>
    <s v="FP Labor - Remote Services Ctr"/>
    <s v="Labor"/>
    <s v="CO-C"/>
    <d v="2026-07-21T00:00:00"/>
    <x v="23"/>
    <x v="20"/>
    <s v="Employee"/>
    <s v="6"/>
    <s v="ORCL IN OSSI"/>
    <s v="504826 - 1CV:GSC-Business Analytics - PaaS"/>
    <s v="09B3"/>
    <s v="Y"/>
    <s v="Y"/>
    <s v="Unrecognized"/>
    <n v="4"/>
    <s v="AED"/>
    <n v="107.25"/>
    <n v="754.44"/>
    <n v="428.98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06485"/>
    <s v="3029675199727401"/>
    <s v="1.04.00"/>
    <s v="FP Labor - Remote Services Ctr"/>
    <s v="Labor"/>
    <s v="CO-C"/>
    <d v="2026-07-21T00:00:00"/>
    <x v="2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893197"/>
    <s v="3029675663092321"/>
    <s v="1.04.00"/>
    <s v="FP Labor - Remote Services Ctr"/>
    <s v="Labor"/>
    <s v="CO-C"/>
    <d v="2026-07-21T00:00:00"/>
    <x v="23"/>
    <x v="3"/>
    <s v="Employee"/>
    <s v="7"/>
    <s v="ORCL IN OSSI"/>
    <s v="504826 - 1CV:GSC-Business Analytics - PaaS"/>
    <s v="009B"/>
    <s v="Y"/>
    <s v="Y"/>
    <s v="Unrecognized"/>
    <n v="4"/>
    <s v="AED"/>
    <n v="107.25"/>
    <n v="813.38"/>
    <n v="428.98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92705"/>
    <s v="3029675971709931"/>
    <s v="1.04.00"/>
    <s v="FP Labor - Remote Services Ctr"/>
    <s v="Labor"/>
    <s v="CO-C"/>
    <d v="2026-07-21T00:00:00"/>
    <x v="23"/>
    <x v="25"/>
    <s v="Employee"/>
    <s v="2"/>
    <s v="ORCL IN OSSI"/>
    <s v="504826 - 1CV:GSC-Business Analytics - PaaS"/>
    <s v="009B"/>
    <s v="Y"/>
    <s v="Y"/>
    <s v="Unrecognized"/>
    <n v="8"/>
    <s v="AED"/>
    <n v="35.369999999999997"/>
    <n v="353.64"/>
    <n v="282.95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7348"/>
    <s v="3029676316130191"/>
    <s v="1.04.00"/>
    <s v="FP Labor - Remote Services Ctr"/>
    <s v="Labor"/>
    <s v="CO-C"/>
    <d v="2026-07-21T00:00:00"/>
    <x v="23"/>
    <x v="21"/>
    <s v="Employee"/>
    <s v="5"/>
    <s v="ORCL IN OSSI"/>
    <s v="504826 - 1CV:GSC-Business Analytics - PaaS"/>
    <s v="09B1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92159"/>
    <s v="3029675266743021"/>
    <s v="1.04.00"/>
    <s v="FP Labor - Remote Services Ctr"/>
    <s v="Labor"/>
    <s v="CO-C"/>
    <d v="2026-07-22T00:00:00"/>
    <x v="23"/>
    <x v="27"/>
    <s v="Employee"/>
    <s v="2"/>
    <s v="ORCL IN OSSI"/>
    <s v="504826 - 1CV:GSC-Business Analytics - PaaS"/>
    <s v="09B2"/>
    <s v="Y"/>
    <s v="Y"/>
    <s v="Unrecognized"/>
    <n v="8"/>
    <s v="AED"/>
    <n v="35.35"/>
    <n v="353.64"/>
    <n v="282.8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78245"/>
    <s v="3029675874434641"/>
    <s v="1.04.00"/>
    <s v="FP Labor - Remote Services Ctr"/>
    <s v="Labor"/>
    <s v="CO-C"/>
    <d v="2026-07-22T00:00:00"/>
    <x v="23"/>
    <x v="26"/>
    <s v="Employee"/>
    <s v="8"/>
    <s v="ORCL EG"/>
    <s v="502416 - 3WP-EMEA Delivery Middleware - IaaS"/>
    <s v="008U"/>
    <s v="Y"/>
    <s v="Y"/>
    <s v="Unrecognized"/>
    <n v="4"/>
    <s v="AED"/>
    <n v="99.21"/>
    <n v="943.05"/>
    <n v="396.84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90882"/>
    <s v="3029675091425501"/>
    <s v="1.04.00"/>
    <s v="FP Labor - Remote Services Ctr"/>
    <s v="Labor"/>
    <s v="CO-C"/>
    <d v="2026-07-22T00:00:00"/>
    <x v="23"/>
    <x v="20"/>
    <s v="Employee"/>
    <s v="6"/>
    <s v="ORCL IN OSSI"/>
    <s v="504826 - 1CV:GSC-Business Analytics - PaaS"/>
    <s v="09B3"/>
    <s v="Y"/>
    <s v="Y"/>
    <s v="Unrecognized"/>
    <n v="4"/>
    <s v="AED"/>
    <n v="107.2"/>
    <n v="754.44"/>
    <n v="428.8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78467"/>
    <s v="3029675199727421"/>
    <s v="1.04.00"/>
    <s v="FP Labor - Remote Services Ctr"/>
    <s v="Labor"/>
    <s v="CO-C"/>
    <d v="2026-07-22T00:00:00"/>
    <x v="2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92278"/>
    <s v="3029675663092351"/>
    <s v="1.04.00"/>
    <s v="FP Labor - Remote Services Ctr"/>
    <s v="Labor"/>
    <s v="CO-C"/>
    <d v="2026-07-22T00:00:00"/>
    <x v="23"/>
    <x v="3"/>
    <s v="Employee"/>
    <s v="7"/>
    <s v="ORCL IN OSSI"/>
    <s v="504826 - 1CV:GSC-Business Analytics - PaaS"/>
    <s v="009B"/>
    <s v="Y"/>
    <s v="Y"/>
    <s v="Unrecognized"/>
    <n v="4"/>
    <s v="AED"/>
    <n v="107.2"/>
    <n v="813.38"/>
    <n v="428.81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5992704"/>
    <s v="3029675971709951"/>
    <s v="1.04.00"/>
    <s v="FP Labor - Remote Services Ctr"/>
    <s v="Labor"/>
    <s v="CO-C"/>
    <d v="2026-07-22T00:00:00"/>
    <x v="23"/>
    <x v="25"/>
    <s v="Employee"/>
    <s v="2"/>
    <s v="ORCL IN OSSI"/>
    <s v="504826 - 1CV:GSC-Business Analytics - PaaS"/>
    <s v="009B"/>
    <s v="Y"/>
    <s v="Y"/>
    <s v="Unrecognized"/>
    <n v="8"/>
    <s v="AED"/>
    <n v="35.35"/>
    <n v="353.64"/>
    <n v="282.83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7347"/>
    <s v="3029676316130211"/>
    <s v="1.04.00"/>
    <s v="FP Labor - Remote Services Ctr"/>
    <s v="Labor"/>
    <s v="CO-C"/>
    <d v="2026-07-22T00:00:00"/>
    <x v="23"/>
    <x v="21"/>
    <s v="Employee"/>
    <s v="5"/>
    <s v="ORCL IN OSSI"/>
    <s v="504826 - 1CV:GSC-Business Analytics - PaaS"/>
    <s v="09B1"/>
    <s v="Y"/>
    <s v="Y"/>
    <s v="Unrecognized"/>
    <n v="8"/>
    <s v="AED"/>
    <n v="66.72"/>
    <n v="660.13"/>
    <n v="533.73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135141"/>
    <s v="3029675266743041"/>
    <s v="1.04.00"/>
    <s v="FP Labor - Remote Services Ctr"/>
    <s v="Labor"/>
    <s v="CO-C"/>
    <d v="2026-07-23T00:00:00"/>
    <x v="23"/>
    <x v="27"/>
    <s v="Employee"/>
    <s v="2"/>
    <s v="ORCL IN OSSI"/>
    <s v="504826 - 1CV:GSC-Business Analytics - PaaS"/>
    <s v="09B2"/>
    <s v="Y"/>
    <s v="Y"/>
    <s v="Unrecognized"/>
    <n v="8"/>
    <s v="AED"/>
    <n v="35.229999999999997"/>
    <n v="353.64"/>
    <n v="281.8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133450"/>
    <s v="3029675091425531"/>
    <s v="1.04.00"/>
    <s v="FP Labor - Remote Services Ctr"/>
    <s v="Labor"/>
    <s v="CO-C"/>
    <d v="2026-07-23T00:00:00"/>
    <x v="23"/>
    <x v="20"/>
    <s v="Employee"/>
    <s v="6"/>
    <s v="ORCL IN OSSI"/>
    <s v="504826 - 1CV:GSC-Business Analytics - PaaS"/>
    <s v="09B3"/>
    <s v="Y"/>
    <s v="Y"/>
    <s v="Unrecognized"/>
    <n v="4"/>
    <s v="AED"/>
    <n v="106.83"/>
    <n v="754.44"/>
    <n v="427.33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122544"/>
    <s v="3029675199727441"/>
    <s v="1.04.00"/>
    <s v="FP Labor - Remote Services Ctr"/>
    <s v="Labor"/>
    <s v="CO-C"/>
    <d v="2026-07-23T00:00:00"/>
    <x v="2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137722"/>
    <s v="3029675663092381"/>
    <s v="1.04.00"/>
    <s v="FP Labor - Remote Services Ctr"/>
    <s v="Labor"/>
    <s v="CO-C"/>
    <d v="2026-07-23T00:00:00"/>
    <x v="23"/>
    <x v="3"/>
    <s v="Employee"/>
    <s v="7"/>
    <s v="ORCL IN OSSI"/>
    <s v="504826 - 1CV:GSC-Business Analytics - PaaS"/>
    <s v="009B"/>
    <s v="Y"/>
    <s v="Y"/>
    <s v="Unrecognized"/>
    <n v="4"/>
    <s v="AED"/>
    <n v="106.83"/>
    <n v="813.38"/>
    <n v="427.33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138350"/>
    <s v="3029675971709971"/>
    <s v="1.04.00"/>
    <s v="FP Labor - Remote Services Ctr"/>
    <s v="Labor"/>
    <s v="CO-C"/>
    <d v="2026-07-23T00:00:00"/>
    <x v="23"/>
    <x v="25"/>
    <s v="Employee"/>
    <s v="2"/>
    <s v="ORCL IN OSSI"/>
    <s v="504826 - 1CV:GSC-Business Analytics - PaaS"/>
    <s v="009B"/>
    <s v="Y"/>
    <s v="Y"/>
    <s v="Unrecognized"/>
    <n v="8"/>
    <s v="AED"/>
    <n v="35.229999999999997"/>
    <n v="353.64"/>
    <n v="281.8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247346"/>
    <s v="3029676316130231"/>
    <s v="1.04.00"/>
    <s v="FP Labor - Remote Services Ctr"/>
    <s v="Labor"/>
    <s v="CO-C"/>
    <d v="2026-07-23T00:00:00"/>
    <x v="23"/>
    <x v="21"/>
    <s v="Employee"/>
    <s v="5"/>
    <s v="ORCL IN OSSI"/>
    <s v="504826 - 1CV:GSC-Business Analytics - PaaS"/>
    <s v="09B1"/>
    <s v="Y"/>
    <s v="Y"/>
    <s v="Unrecognized"/>
    <n v="8"/>
    <s v="AED"/>
    <n v="66.489999999999995"/>
    <n v="660.13"/>
    <n v="531.89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309451"/>
    <s v="3029675266743061"/>
    <s v="1.04.00"/>
    <s v="FP Labor - Remote Services Ctr"/>
    <s v="Labor"/>
    <s v="CO-C"/>
    <d v="2026-07-24T00:00:00"/>
    <x v="23"/>
    <x v="27"/>
    <s v="Employee"/>
    <s v="2"/>
    <s v="ORCL IN OSSI"/>
    <s v="504826 - 1CV:GSC-Business Analytics - PaaS"/>
    <s v="09B2"/>
    <s v="Y"/>
    <s v="Y"/>
    <s v="Unrecognized"/>
    <n v="8"/>
    <s v="AED"/>
    <n v="35.229999999999997"/>
    <n v="353.64"/>
    <n v="281.8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309132"/>
    <s v="3029675091425561"/>
    <s v="1.04.00"/>
    <s v="FP Labor - Remote Services Ctr"/>
    <s v="Labor"/>
    <s v="CO-C"/>
    <d v="2026-07-24T00:00:00"/>
    <x v="23"/>
    <x v="20"/>
    <s v="Employee"/>
    <s v="6"/>
    <s v="ORCL IN OSSI"/>
    <s v="504826 - 1CV:GSC-Business Analytics - PaaS"/>
    <s v="09B3"/>
    <s v="Y"/>
    <s v="Y"/>
    <s v="Unrecognized"/>
    <n v="4"/>
    <s v="AED"/>
    <n v="106.84"/>
    <n v="754.44"/>
    <n v="427.34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321114"/>
    <s v="3029675663092421"/>
    <s v="1.04.00"/>
    <s v="FP Labor - Remote Services Ctr"/>
    <s v="Labor"/>
    <s v="CO-C"/>
    <d v="2026-07-24T00:00:00"/>
    <x v="23"/>
    <x v="3"/>
    <s v="Employee"/>
    <s v="7"/>
    <s v="ORCL IN OSSI"/>
    <s v="504826 - 1CV:GSC-Business Analytics - PaaS"/>
    <s v="009B"/>
    <s v="Y"/>
    <s v="Y"/>
    <s v="Unrecognized"/>
    <n v="4"/>
    <s v="AED"/>
    <n v="106.84"/>
    <n v="813.38"/>
    <n v="427.34"/>
    <n v="0"/>
    <n v="3253.5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320426"/>
    <s v="3029675971709991"/>
    <s v="1.04.00"/>
    <s v="FP Labor - Remote Services Ctr"/>
    <s v="Labor"/>
    <s v="CO-C"/>
    <d v="2026-07-24T00:00:00"/>
    <x v="23"/>
    <x v="25"/>
    <s v="Employee"/>
    <s v="2"/>
    <s v="ORCL IN OSSI"/>
    <s v="504826 - 1CV:GSC-Business Analytics - PaaS"/>
    <s v="009B"/>
    <s v="Y"/>
    <s v="Y"/>
    <s v="Unrecognized"/>
    <n v="8"/>
    <s v="AED"/>
    <n v="35.229999999999997"/>
    <n v="353.64"/>
    <n v="281.8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316556"/>
    <s v="3029676316130251"/>
    <s v="1.04.00"/>
    <s v="FP Labor - Remote Services Ctr"/>
    <s v="Labor"/>
    <s v="CO-C"/>
    <d v="2026-07-24T00:00:00"/>
    <x v="23"/>
    <x v="21"/>
    <s v="Employee"/>
    <s v="5"/>
    <s v="ORCL IN OSSI"/>
    <s v="504826 - 1CV:GSC-Business Analytics - PaaS"/>
    <s v="09B1"/>
    <s v="Y"/>
    <s v="Y"/>
    <s v="Unrecognized"/>
    <n v="8"/>
    <s v="AED"/>
    <n v="66.489999999999995"/>
    <n v="660.13"/>
    <n v="531.91"/>
    <n v="0"/>
    <n v="5281.02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083102"/>
    <s v="3029678806157801"/>
    <s v="1.04.00"/>
    <s v="FP Labor - Remote Services Ctr"/>
    <s v="Labor"/>
    <s v="CO-C"/>
    <d v="2026-07-26T00:00:00"/>
    <x v="24"/>
    <x v="26"/>
    <s v="Employee"/>
    <s v="8"/>
    <s v="ORCL EG"/>
    <s v="502416 - 3WP-EMEA Delivery Middleware - IaaS"/>
    <s v="008U"/>
    <s v="Y"/>
    <s v="Y"/>
    <s v="Unrecognized"/>
    <n v="8"/>
    <s v="AED"/>
    <n v="98.57"/>
    <n v="943.05"/>
    <n v="788.5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997056"/>
    <s v="3029678638264281"/>
    <s v="1.04.00"/>
    <s v="FP Labor - Remote Services Ctr"/>
    <s v="Labor"/>
    <s v="CO-C"/>
    <d v="2026-07-27T00:00:00"/>
    <x v="24"/>
    <x v="27"/>
    <s v="Employee"/>
    <s v="2"/>
    <s v="ORCL IN OSSI"/>
    <s v="504826 - 1CV:GSC-Business Analytics - PaaS"/>
    <s v="09B2"/>
    <s v="Y"/>
    <s v="Y"/>
    <s v="Unrecognized"/>
    <n v="8"/>
    <s v="AED"/>
    <n v="35.229999999999997"/>
    <n v="353.64"/>
    <n v="281.8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083101"/>
    <s v="3029678806157821"/>
    <s v="1.04.00"/>
    <s v="FP Labor - Remote Services Ctr"/>
    <s v="Labor"/>
    <s v="CO-C"/>
    <d v="2026-07-27T00:00:00"/>
    <x v="24"/>
    <x v="26"/>
    <s v="Employee"/>
    <s v="8"/>
    <s v="ORCL EG"/>
    <s v="502416 - 3WP-EMEA Delivery Middleware - IaaS"/>
    <s v="008U"/>
    <s v="Y"/>
    <s v="Y"/>
    <s v="Unrecognized"/>
    <n v="8"/>
    <s v="AED"/>
    <n v="98.57"/>
    <n v="943.05"/>
    <n v="788.58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656984"/>
    <s v="3029677386506961"/>
    <s v="1.04.00"/>
    <s v="FP Labor - Remote Services Ctr"/>
    <s v="Labor"/>
    <s v="CO-C"/>
    <d v="2026-07-27T00:00:00"/>
    <x v="24"/>
    <x v="20"/>
    <s v="Employee"/>
    <s v="6"/>
    <s v="ORCL IN OSSI"/>
    <s v="504826 - 1CV:GSC-Business Analytics - PaaS"/>
    <s v="09B3"/>
    <s v="Y"/>
    <s v="Y"/>
    <s v="Unrecognized"/>
    <n v="4"/>
    <s v="AED"/>
    <n v="106.84"/>
    <n v="754.44"/>
    <n v="427.34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648380"/>
    <s v="3029675202803031"/>
    <s v="1.04.00"/>
    <s v="FP Labor - Remote Services Ctr"/>
    <s v="Labor"/>
    <s v="CO-C"/>
    <d v="2026-07-27T00:00:00"/>
    <x v="2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943885"/>
    <s v="3029678378347351"/>
    <s v="1.04.00"/>
    <s v="FP Labor - Remote Services Ctr"/>
    <s v="Labor"/>
    <s v="CO-C"/>
    <d v="2026-07-27T00:00:00"/>
    <x v="24"/>
    <x v="3"/>
    <s v="Employee"/>
    <s v="7"/>
    <s v="ORCL IN OSSI"/>
    <s v="504826 - 1CV:GSC-Business Analytics - PaaS"/>
    <s v="009B"/>
    <s v="Y"/>
    <s v="Y"/>
    <s v="Unrecognized"/>
    <n v="5"/>
    <s v="AED"/>
    <n v="106.84"/>
    <n v="813.38"/>
    <n v="534.17999999999995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247529"/>
    <s v="3029679056979021"/>
    <s v="1.04.00"/>
    <s v="FP Labor - Remote Services Ctr"/>
    <s v="Labor"/>
    <s v="CO-C"/>
    <d v="2026-07-27T00:00:00"/>
    <x v="24"/>
    <x v="25"/>
    <s v="Employee"/>
    <s v="2"/>
    <s v="ORCL IN OSSI"/>
    <s v="504826 - 1CV:GSC-Business Analytics - PaaS"/>
    <s v="009B"/>
    <s v="Y"/>
    <s v="Y"/>
    <s v="Unrecognized"/>
    <n v="8"/>
    <s v="AED"/>
    <n v="35.229999999999997"/>
    <n v="353.64"/>
    <n v="281.86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62297"/>
    <s v="3029680104792281"/>
    <s v="1.04.00"/>
    <s v="FP Labor - Remote Services Ctr"/>
    <s v="Labor"/>
    <s v="CO-C"/>
    <d v="2026-07-27T00:00:00"/>
    <x v="24"/>
    <x v="21"/>
    <s v="Employee"/>
    <s v="5"/>
    <s v="ORCL IN OSSI"/>
    <s v="504826 - 1CV:GSC-Business Analytics - PaaS"/>
    <s v="09B1"/>
    <s v="Y"/>
    <s v="Y"/>
    <s v="Unrecognized"/>
    <n v="8"/>
    <s v="AED"/>
    <n v="66.489999999999995"/>
    <m/>
    <n v="531.91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996939"/>
    <s v="3029678638264301"/>
    <s v="1.04.00"/>
    <s v="FP Labor - Remote Services Ctr"/>
    <s v="Labor"/>
    <s v="CO-C"/>
    <d v="2026-07-28T00:00:00"/>
    <x v="24"/>
    <x v="27"/>
    <s v="Employee"/>
    <s v="2"/>
    <s v="ORCL IN OSSI"/>
    <s v="504826 - 1CV:GSC-Business Analytics - PaaS"/>
    <s v="09B2"/>
    <s v="Y"/>
    <s v="Y"/>
    <s v="Unrecognized"/>
    <n v="8"/>
    <s v="AED"/>
    <n v="35.479999999999997"/>
    <n v="353.64"/>
    <n v="283.8399999999999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083100"/>
    <s v="3029678806157841"/>
    <s v="1.04.00"/>
    <s v="FP Labor - Remote Services Ctr"/>
    <s v="Labor"/>
    <s v="CO-C"/>
    <d v="2026-07-28T00:00:00"/>
    <x v="24"/>
    <x v="26"/>
    <s v="Employee"/>
    <s v="8"/>
    <s v="ORCL EG"/>
    <s v="502416 - 3WP-EMEA Delivery Middleware - IaaS"/>
    <s v="008U"/>
    <s v="Y"/>
    <s v="Y"/>
    <s v="Unrecognized"/>
    <n v="8"/>
    <s v="AED"/>
    <n v="99.79"/>
    <n v="943.05"/>
    <n v="798.29"/>
    <n v="0"/>
    <n v="7544.37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764958"/>
    <s v="3029677386506991"/>
    <s v="1.04.00"/>
    <s v="FP Labor - Remote Services Ctr"/>
    <s v="Labor"/>
    <s v="CO-C"/>
    <d v="2026-07-28T00:00:00"/>
    <x v="24"/>
    <x v="20"/>
    <s v="Employee"/>
    <s v="6"/>
    <s v="ORCL IN OSSI"/>
    <s v="504826 - 1CV:GSC-Business Analytics - PaaS"/>
    <s v="09B3"/>
    <s v="Y"/>
    <s v="Y"/>
    <s v="Unrecognized"/>
    <n v="4"/>
    <s v="AED"/>
    <n v="107.59"/>
    <n v="754.44"/>
    <n v="430.34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754795"/>
    <s v="3029675202803051"/>
    <s v="1.04.00"/>
    <s v="FP Labor - Remote Services Ctr"/>
    <s v="Labor"/>
    <s v="CO-C"/>
    <d v="2026-07-28T00:00:00"/>
    <x v="2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247528"/>
    <s v="3029679056979041"/>
    <s v="1.04.00"/>
    <s v="FP Labor - Remote Services Ctr"/>
    <s v="Labor"/>
    <s v="CO-C"/>
    <d v="2026-07-28T00:00:00"/>
    <x v="24"/>
    <x v="25"/>
    <s v="Employee"/>
    <s v="2"/>
    <s v="ORCL IN OSSI"/>
    <s v="504826 - 1CV:GSC-Business Analytics - PaaS"/>
    <s v="009B"/>
    <s v="Y"/>
    <s v="Y"/>
    <s v="Unrecognized"/>
    <n v="8"/>
    <s v="AED"/>
    <n v="35.479999999999997"/>
    <n v="353.64"/>
    <n v="283.8399999999999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62296"/>
    <s v="3029680104792301"/>
    <s v="1.04.00"/>
    <s v="FP Labor - Remote Services Ctr"/>
    <s v="Labor"/>
    <s v="CO-C"/>
    <d v="2026-07-28T00:00:00"/>
    <x v="24"/>
    <x v="21"/>
    <s v="Employee"/>
    <s v="5"/>
    <s v="ORCL IN OSSI"/>
    <s v="504826 - 1CV:GSC-Business Analytics - PaaS"/>
    <s v="09B1"/>
    <s v="Y"/>
    <s v="Y"/>
    <s v="Unrecognized"/>
    <n v="8"/>
    <s v="AED"/>
    <n v="66.95"/>
    <m/>
    <n v="535.63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996938"/>
    <s v="3029678638264321"/>
    <s v="1.04.00"/>
    <s v="FP Labor - Remote Services Ctr"/>
    <s v="Labor"/>
    <s v="CO-C"/>
    <d v="2026-07-29T00:00:00"/>
    <x v="24"/>
    <x v="27"/>
    <s v="Employee"/>
    <s v="2"/>
    <s v="ORCL IN OSSI"/>
    <s v="504826 - 1CV:GSC-Business Analytics - PaaS"/>
    <s v="09B2"/>
    <s v="Y"/>
    <s v="Y"/>
    <s v="Unrecognized"/>
    <n v="8"/>
    <s v="AED"/>
    <n v="35.479999999999997"/>
    <n v="353.64"/>
    <n v="283.8399999999999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083088"/>
    <s v="3029678806157871"/>
    <s v="1.04.00"/>
    <s v="FP Labor - Remote Services Ctr"/>
    <s v="Labor"/>
    <s v="CO-C"/>
    <d v="2026-07-29T00:00:00"/>
    <x v="24"/>
    <x v="26"/>
    <s v="Employee"/>
    <s v="8"/>
    <s v="ORCL EG"/>
    <s v="502416 - 3WP-EMEA Delivery Middleware - IaaS"/>
    <s v="008U"/>
    <s v="Y"/>
    <s v="Y"/>
    <s v="Unrecognized"/>
    <n v="4"/>
    <s v="AED"/>
    <n v="99.79"/>
    <n v="943.05"/>
    <n v="399.14"/>
    <n v="0"/>
    <n v="3772.1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869728"/>
    <s v="3029677386507021"/>
    <s v="1.04.00"/>
    <s v="FP Labor - Remote Services Ctr"/>
    <s v="Labor"/>
    <s v="CO-C"/>
    <d v="2026-07-29T00:00:00"/>
    <x v="24"/>
    <x v="20"/>
    <s v="Employee"/>
    <s v="6"/>
    <s v="ORCL IN OSSI"/>
    <s v="504826 - 1CV:GSC-Business Analytics - PaaS"/>
    <s v="09B3"/>
    <s v="Y"/>
    <s v="Y"/>
    <s v="Unrecognized"/>
    <n v="4"/>
    <s v="AED"/>
    <n v="107.59"/>
    <n v="754.44"/>
    <n v="430.34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855693"/>
    <s v="3029675202803071"/>
    <s v="1.04.00"/>
    <s v="FP Labor - Remote Services Ctr"/>
    <s v="Labor"/>
    <s v="CO-C"/>
    <d v="2026-07-29T00:00:00"/>
    <x v="2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943883"/>
    <s v="3029678378347391"/>
    <s v="1.04.00"/>
    <s v="FP Labor - Remote Services Ctr"/>
    <s v="Labor"/>
    <s v="CO-C"/>
    <d v="2026-07-29T00:00:00"/>
    <x v="24"/>
    <x v="3"/>
    <s v="Employee"/>
    <s v="7"/>
    <s v="ORCL IN OSSI"/>
    <s v="504826 - 1CV:GSC-Business Analytics - PaaS"/>
    <s v="009B"/>
    <s v="Y"/>
    <s v="Y"/>
    <s v="Unrecognized"/>
    <n v="5"/>
    <s v="AED"/>
    <n v="107.58"/>
    <n v="813.38"/>
    <n v="537.91999999999996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247527"/>
    <s v="3029679056979061"/>
    <s v="1.04.00"/>
    <s v="FP Labor - Remote Services Ctr"/>
    <s v="Labor"/>
    <s v="CO-C"/>
    <d v="2026-07-29T00:00:00"/>
    <x v="24"/>
    <x v="25"/>
    <s v="Employee"/>
    <s v="2"/>
    <s v="ORCL IN OSSI"/>
    <s v="504826 - 1CV:GSC-Business Analytics - PaaS"/>
    <s v="009B"/>
    <s v="Y"/>
    <s v="Y"/>
    <s v="Unrecognized"/>
    <n v="8"/>
    <s v="AED"/>
    <n v="35.479999999999997"/>
    <n v="353.64"/>
    <n v="283.83999999999997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62295"/>
    <s v="3029680104792321"/>
    <s v="1.04.00"/>
    <s v="FP Labor - Remote Services Ctr"/>
    <s v="Labor"/>
    <s v="CO-C"/>
    <d v="2026-07-29T00:00:00"/>
    <x v="24"/>
    <x v="21"/>
    <s v="Employee"/>
    <s v="5"/>
    <s v="ORCL IN OSSI"/>
    <s v="504826 - 1CV:GSC-Business Analytics - PaaS"/>
    <s v="09B1"/>
    <s v="Y"/>
    <s v="Y"/>
    <s v="Unrecognized"/>
    <n v="8"/>
    <s v="AED"/>
    <n v="66.95"/>
    <m/>
    <n v="535.63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996937"/>
    <s v="3029678638264341"/>
    <s v="1.04.00"/>
    <s v="FP Labor - Remote Services Ctr"/>
    <s v="Labor"/>
    <s v="CO-C"/>
    <d v="2026-07-30T00:00:00"/>
    <x v="24"/>
    <x v="27"/>
    <s v="Employee"/>
    <s v="2"/>
    <s v="ORCL IN OSSI"/>
    <s v="504826 - 1CV:GSC-Business Analytics - PaaS"/>
    <s v="09B2"/>
    <s v="Y"/>
    <s v="Y"/>
    <s v="Unrecognized"/>
    <n v="8"/>
    <s v="AED"/>
    <n v="35.549999999999997"/>
    <n v="353.64"/>
    <n v="284.4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979074"/>
    <s v="3029677386507051"/>
    <s v="1.04.00"/>
    <s v="FP Labor - Remote Services Ctr"/>
    <s v="Labor"/>
    <s v="CO-C"/>
    <d v="2026-07-30T00:00:00"/>
    <x v="24"/>
    <x v="20"/>
    <s v="Employee"/>
    <s v="6"/>
    <s v="ORCL IN OSSI"/>
    <s v="504826 - 1CV:GSC-Business Analytics - PaaS"/>
    <s v="09B3"/>
    <s v="Y"/>
    <s v="Y"/>
    <s v="Unrecognized"/>
    <n v="4"/>
    <s v="AED"/>
    <n v="107.8"/>
    <n v="754.44"/>
    <n v="431.2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6983172"/>
    <s v="3029675202803091"/>
    <s v="1.04.00"/>
    <s v="FP Labor - Remote Services Ctr"/>
    <s v="Labor"/>
    <s v="CO-C"/>
    <d v="2026-07-30T00:00:00"/>
    <x v="24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001033"/>
    <s v="3029678378347421"/>
    <s v="1.04.00"/>
    <s v="FP Labor - Remote Services Ctr"/>
    <s v="Labor"/>
    <s v="CO-C"/>
    <d v="2026-07-30T00:00:00"/>
    <x v="24"/>
    <x v="3"/>
    <s v="Employee"/>
    <s v="7"/>
    <s v="ORCL IN OSSI"/>
    <s v="504826 - 1CV:GSC-Business Analytics - PaaS"/>
    <s v="009B"/>
    <s v="Y"/>
    <s v="Y"/>
    <s v="Unrecognized"/>
    <n v="5"/>
    <s v="AED"/>
    <n v="107.8"/>
    <n v="813.38"/>
    <n v="539.01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247526"/>
    <s v="3029679056979081"/>
    <s v="1.04.00"/>
    <s v="FP Labor - Remote Services Ctr"/>
    <s v="Labor"/>
    <s v="CO-C"/>
    <d v="2026-07-30T00:00:00"/>
    <x v="24"/>
    <x v="25"/>
    <s v="Employee"/>
    <s v="2"/>
    <s v="ORCL IN OSSI"/>
    <s v="504826 - 1CV:GSC-Business Analytics - PaaS"/>
    <s v="009B"/>
    <s v="Y"/>
    <s v="Y"/>
    <s v="Unrecognized"/>
    <n v="8"/>
    <s v="AED"/>
    <n v="35.549999999999997"/>
    <n v="353.64"/>
    <n v="284.4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62294"/>
    <s v="3029680104792341"/>
    <s v="1.04.00"/>
    <s v="FP Labor - Remote Services Ctr"/>
    <s v="Labor"/>
    <s v="CO-C"/>
    <d v="2026-07-30T00:00:00"/>
    <x v="24"/>
    <x v="21"/>
    <s v="Employee"/>
    <s v="5"/>
    <s v="ORCL IN OSSI"/>
    <s v="504826 - 1CV:GSC-Business Analytics - PaaS"/>
    <s v="09B1"/>
    <s v="Y"/>
    <s v="Y"/>
    <s v="Unrecognized"/>
    <n v="8"/>
    <s v="AED"/>
    <n v="67.09"/>
    <m/>
    <n v="536.72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144745"/>
    <s v="3029678638264361"/>
    <s v="1.04.00"/>
    <s v="FP Labor - Remote Services Ctr"/>
    <s v="Labor"/>
    <s v="CO-C"/>
    <d v="2026-07-31T00:00:00"/>
    <x v="24"/>
    <x v="27"/>
    <s v="Employee"/>
    <s v="2"/>
    <s v="ORCL IN OSSI"/>
    <s v="504826 - 1CV:GSC-Business Analytics - PaaS"/>
    <s v="09B2"/>
    <s v="Y"/>
    <s v="Y"/>
    <s v="Unrecognized"/>
    <n v="8"/>
    <s v="AED"/>
    <n v="35.549999999999997"/>
    <n v="353.64"/>
    <n v="284.4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128687"/>
    <s v="3029677386507081"/>
    <s v="1.04.00"/>
    <s v="FP Labor - Remote Services Ctr"/>
    <s v="Labor"/>
    <s v="CO-C"/>
    <d v="2026-07-31T00:00:00"/>
    <x v="24"/>
    <x v="20"/>
    <s v="Employee"/>
    <s v="6"/>
    <s v="ORCL IN OSSI"/>
    <s v="504826 - 1CV:GSC-Business Analytics - PaaS"/>
    <s v="09B3"/>
    <s v="Y"/>
    <s v="Y"/>
    <s v="Unrecognized"/>
    <n v="4"/>
    <s v="AED"/>
    <n v="107.8"/>
    <n v="754.44"/>
    <n v="431.21"/>
    <n v="0"/>
    <n v="3017.74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150341"/>
    <s v="3029678378347461"/>
    <s v="1.04.00"/>
    <s v="FP Labor - Remote Services Ctr"/>
    <s v="Labor"/>
    <s v="CO-C"/>
    <d v="2026-07-31T00:00:00"/>
    <x v="24"/>
    <x v="3"/>
    <s v="Employee"/>
    <s v="7"/>
    <s v="ORCL IN OSSI"/>
    <s v="504826 - 1CV:GSC-Business Analytics - PaaS"/>
    <s v="009B"/>
    <s v="Y"/>
    <s v="Y"/>
    <s v="Unrecognized"/>
    <n v="5"/>
    <s v="AED"/>
    <n v="107.8"/>
    <n v="813.38"/>
    <n v="539.01"/>
    <n v="0"/>
    <n v="4066.89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s v="A_1.00.00_LAB_PO_D106731"/>
    <s v="A38179"/>
    <s v="217247525"/>
    <s v="3029679056979101"/>
    <s v="1.04.00"/>
    <s v="FP Labor - Remote Services Ctr"/>
    <s v="Labor"/>
    <s v="CO-C"/>
    <d v="2026-07-31T00:00:00"/>
    <x v="24"/>
    <x v="25"/>
    <s v="Employee"/>
    <s v="2"/>
    <s v="ORCL IN OSSI"/>
    <s v="504826 - 1CV:GSC-Business Analytics - PaaS"/>
    <s v="009B"/>
    <s v="Y"/>
    <s v="Y"/>
    <s v="Unrecognized"/>
    <n v="8"/>
    <s v="AED"/>
    <n v="35.549999999999997"/>
    <n v="353.64"/>
    <n v="284.42"/>
    <n v="0"/>
    <n v="2829.11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62207"/>
    <s v="3029680104792361"/>
    <s v="1.04.00"/>
    <s v="FP Labor - Remote Services Ctr"/>
    <s v="Labor"/>
    <s v="CO-C"/>
    <d v="2026-07-31T00:00:00"/>
    <x v="24"/>
    <x v="21"/>
    <s v="Employee"/>
    <s v="5"/>
    <s v="ORCL IN OSSI"/>
    <s v="504826 - 1CV:GSC-Business Analytics - PaaS"/>
    <s v="09B1"/>
    <s v="Y"/>
    <s v="Y"/>
    <s v="Unrecognized"/>
    <n v="8"/>
    <s v="AED"/>
    <n v="67.09"/>
    <m/>
    <n v="536.72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87399"/>
    <s v="3029679477946821"/>
    <s v="1.04.00"/>
    <s v="FP Labor - Remote Services Ctr"/>
    <s v="Labor"/>
    <s v="CO-C"/>
    <d v="2026-08-03T00:00:00"/>
    <x v="25"/>
    <x v="20"/>
    <s v="Employee"/>
    <s v="6"/>
    <s v="ORCL IN OSSI"/>
    <s v="504826 - 1CV:GSC-Business Analytics - PaaS"/>
    <s v="09B3"/>
    <s v="Y"/>
    <s v="Y"/>
    <s v="Unrecognized"/>
    <n v="4"/>
    <s v="AED"/>
    <n v="107.8"/>
    <m/>
    <n v="431.21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61733"/>
    <s v="3029680105754161"/>
    <s v="1.04.00"/>
    <s v="FP Labor - Remote Services Ctr"/>
    <s v="Labor"/>
    <s v="CO-C"/>
    <d v="2026-08-03T00:00:00"/>
    <x v="25"/>
    <x v="21"/>
    <s v="Employee"/>
    <s v="5"/>
    <s v="ORCL IN OSSI"/>
    <s v="504826 - 1CV:GSC-Business Analytics - PaaS"/>
    <s v="09B1"/>
    <s v="Y"/>
    <s v="Y"/>
    <s v="Unrecognized"/>
    <n v="8"/>
    <s v="AED"/>
    <n v="67.09"/>
    <m/>
    <n v="536.72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87397"/>
    <s v="3029679477946851"/>
    <s v="1.04.00"/>
    <s v="FP Labor - Remote Services Ctr"/>
    <s v="Labor"/>
    <s v="CO-C"/>
    <d v="2026-08-04T00:00:00"/>
    <x v="25"/>
    <x v="20"/>
    <s v="Employee"/>
    <s v="6"/>
    <s v="ORCL IN OSSI"/>
    <s v="504826 - 1CV:GSC-Business Analytics - PaaS"/>
    <s v="09B3"/>
    <s v="Y"/>
    <s v="Y"/>
    <s v="Unrecognized"/>
    <n v="4"/>
    <s v="AED"/>
    <n v="107.8"/>
    <m/>
    <n v="431.21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7461732"/>
    <s v="3029680105754181"/>
    <s v="1.04.00"/>
    <s v="FP Labor - Remote Services Ctr"/>
    <s v="Labor"/>
    <s v="CO-C"/>
    <d v="2026-08-04T00:00:00"/>
    <x v="25"/>
    <x v="21"/>
    <s v="Employee"/>
    <s v="5"/>
    <s v="ORCL IN OSSI"/>
    <s v="504826 - 1CV:GSC-Business Analytics - PaaS"/>
    <s v="09B1"/>
    <s v="Y"/>
    <s v="Y"/>
    <s v="Unrecognized"/>
    <n v="8"/>
    <s v="AED"/>
    <n v="67.09"/>
    <m/>
    <n v="536.72"/>
    <n v="0"/>
    <n v="0"/>
    <n v="0"/>
    <n v="0"/>
    <m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28"/>
    <s v="261144623"/>
    <s v="7.01.00"/>
    <s v="FP NB-Non-Billable Expenses"/>
    <s v="Expense"/>
    <s v="CN-C"/>
    <d v="2026-05-22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Airfare-Airfare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50"/>
    <s v="261144597"/>
    <s v="7.01.00"/>
    <s v="FP NB-Non-Billable Expenses"/>
    <s v="Expense"/>
    <s v="CN-C"/>
    <d v="2026-05-22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1866.28"/>
    <n v="0"/>
    <n v="0"/>
    <n v="0"/>
    <n v="1866.28"/>
    <s v="Airfare-Airfare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0"/>
    <s v="261144625"/>
    <s v="7.01.00"/>
    <s v="FP NB-Non-Billable Expenses"/>
    <s v="Expense"/>
    <s v="CN-C"/>
    <d v="2026-06-05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Uber to Cairo Airport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2"/>
    <s v="261144629"/>
    <s v="7.01.00"/>
    <s v="FP NB-Non-Billable Expenses"/>
    <s v="Expense"/>
    <s v="CN-C"/>
    <d v="2026-06-05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51"/>
    <s v="261144598"/>
    <s v="7.01.00"/>
    <s v="FP NB-Non-Billable Expenses"/>
    <s v="Expense"/>
    <s v="CN-C"/>
    <d v="2026-06-05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35.44"/>
    <n v="0"/>
    <n v="0"/>
    <n v="0"/>
    <n v="35.44"/>
    <s v="Uber to Cairo Airport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53"/>
    <s v="261144600"/>
    <s v="7.01.00"/>
    <s v="FP NB-Non-Billable Expenses"/>
    <s v="Expense"/>
    <s v="CN-C"/>
    <d v="2026-06-05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148.69999999999999"/>
    <n v="0"/>
    <n v="0"/>
    <n v="0"/>
    <n v="148.69999999999999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1"/>
    <s v="261144627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3"/>
    <s v="261144631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obile recharge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4"/>
    <s v="261144633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5"/>
    <s v="261144635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46"/>
    <s v="261144612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60.72"/>
    <n v="0"/>
    <n v="0"/>
    <n v="0"/>
    <n v="60.72"/>
    <s v="Laundr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48"/>
    <s v="261144617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Laundr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52"/>
    <s v="261144599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94.6"/>
    <n v="0"/>
    <n v="0"/>
    <n v="0"/>
    <n v="94.6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54"/>
    <s v="261144601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210"/>
    <n v="0"/>
    <n v="0"/>
    <n v="0"/>
    <n v="210"/>
    <s v="Mobile recharge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55"/>
    <s v="261144602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104.1"/>
    <n v="0"/>
    <n v="0"/>
    <n v="0"/>
    <n v="104.1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56"/>
    <s v="261144603"/>
    <s v="7.01.00"/>
    <s v="FP NB-Non-Billable Expenses"/>
    <s v="Expense"/>
    <s v="CN-C"/>
    <d v="2026-06-06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169.84"/>
    <n v="0"/>
    <n v="0"/>
    <n v="0"/>
    <n v="169.84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22"/>
    <s v="261144605"/>
    <s v="7.01.00"/>
    <s v="FP NB-Non-Billable Expenses"/>
    <s v="Expense"/>
    <s v="CN-C"/>
    <d v="2026-06-07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144.69999999999999"/>
    <n v="0"/>
    <n v="0"/>
    <n v="0"/>
    <n v="144.69999999999999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23"/>
    <s v="261144606"/>
    <s v="7.01.00"/>
    <s v="FP NB-Non-Billable Expenses"/>
    <s v="Expense"/>
    <s v="CN-C"/>
    <d v="2026-06-07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42"/>
    <n v="0"/>
    <n v="0"/>
    <n v="0"/>
    <n v="42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25"/>
    <s v="261144608"/>
    <s v="7.01.00"/>
    <s v="FP NB-Non-Billable Expenses"/>
    <s v="Expense"/>
    <s v="CN-C"/>
    <d v="2026-06-07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45.41"/>
    <n v="0"/>
    <n v="0"/>
    <n v="0"/>
    <n v="45.41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29"/>
    <s v="261144639"/>
    <s v="7.01.00"/>
    <s v="FP NB-Non-Billable Expenses"/>
    <s v="Expense"/>
    <s v="CN-C"/>
    <d v="2026-06-07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6"/>
    <s v="261144637"/>
    <s v="7.01.00"/>
    <s v="FP NB-Non-Billable Expenses"/>
    <s v="Expense"/>
    <s v="CN-C"/>
    <d v="2026-06-07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7"/>
    <s v="261144641"/>
    <s v="7.01.00"/>
    <s v="FP NB-Non-Billable Expenses"/>
    <s v="Expense"/>
    <s v="CN-C"/>
    <d v="2026-06-07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9"/>
    <s v="261144645"/>
    <s v="7.01.00"/>
    <s v="FP NB-Non-Billable Expenses"/>
    <s v="Expense"/>
    <s v="CN-C"/>
    <d v="2026-06-07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57"/>
    <s v="261144604"/>
    <s v="7.01.00"/>
    <s v="FP NB-Non-Billable Expenses"/>
    <s v="Expense"/>
    <s v="CN-C"/>
    <d v="2026-06-07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293.37"/>
    <n v="0"/>
    <n v="0"/>
    <n v="0"/>
    <n v="293.37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24"/>
    <s v="261144607"/>
    <s v="7.01.00"/>
    <s v="FP NB-Non-Billable Expenses"/>
    <s v="Expense"/>
    <s v="CN-C"/>
    <d v="2026-06-08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27.91"/>
    <n v="0"/>
    <n v="0"/>
    <n v="0"/>
    <n v="27.91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26"/>
    <s v="261144609"/>
    <s v="7.01.00"/>
    <s v="FP NB-Non-Billable Expenses"/>
    <s v="Expense"/>
    <s v="CN-C"/>
    <d v="2026-06-08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143.1"/>
    <n v="0"/>
    <n v="0"/>
    <n v="0"/>
    <n v="143.1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27"/>
    <s v="261144610"/>
    <s v="7.01.00"/>
    <s v="FP NB-Non-Billable Expenses"/>
    <s v="Expense"/>
    <s v="CN-C"/>
    <d v="2026-06-08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101.35"/>
    <n v="0"/>
    <n v="0"/>
    <n v="0"/>
    <n v="101.35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38"/>
    <s v="261144643"/>
    <s v="7.01.00"/>
    <s v="FP NB-Non-Billable Expenses"/>
    <s v="Expense"/>
    <s v="CN-C"/>
    <d v="2026-06-08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40"/>
    <s v="261144647"/>
    <s v="7.01.00"/>
    <s v="FP NB-Non-Billable Expenses"/>
    <s v="Expense"/>
    <s v="CN-C"/>
    <d v="2026-06-08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41"/>
    <s v="261144649"/>
    <s v="7.01.00"/>
    <s v="FP NB-Non-Billable Expenses"/>
    <s v="Expense"/>
    <s v="CN-C"/>
    <d v="2026-06-08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20"/>
    <s v="262323062"/>
    <s v="7.01.00"/>
    <s v="FP NB-Non-Billable Expenses"/>
    <s v="Expense"/>
    <s v="CN-C"/>
    <d v="2026-06-0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68.569999999999993"/>
    <n v="0"/>
    <n v="0"/>
    <n v="0"/>
    <n v="68.569999999999993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21"/>
    <s v="262323063"/>
    <s v="7.01.00"/>
    <s v="FP NB-Non-Billable Expenses"/>
    <s v="Expense"/>
    <s v="CN-C"/>
    <d v="2026-06-0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50.80000000000001"/>
    <n v="0"/>
    <n v="0"/>
    <n v="0"/>
    <n v="150.80000000000001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43"/>
    <s v="262323064"/>
    <s v="7.01.00"/>
    <s v="FP NB-Non-Billable Expenses"/>
    <s v="Expense"/>
    <s v="CN-C"/>
    <d v="2026-06-0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5.67"/>
    <n v="0"/>
    <n v="0"/>
    <n v="0"/>
    <n v="25.67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44"/>
    <s v="262323065"/>
    <s v="7.01.00"/>
    <s v="FP NB-Non-Billable Expenses"/>
    <s v="Expense"/>
    <s v="CN-C"/>
    <d v="2026-06-0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8.63"/>
    <n v="0"/>
    <n v="0"/>
    <n v="0"/>
    <n v="28.63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8"/>
    <s v="262323415"/>
    <s v="7.01.00"/>
    <s v="FP NB-Non-Billable Expenses"/>
    <s v="Expense"/>
    <s v="CN-C"/>
    <d v="2026-06-0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9"/>
    <s v="262323417"/>
    <s v="7.01.00"/>
    <s v="FP NB-Non-Billable Expenses"/>
    <s v="Expense"/>
    <s v="CN-C"/>
    <d v="2026-06-0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20"/>
    <s v="262323419"/>
    <s v="7.01.00"/>
    <s v="FP NB-Non-Billable Expenses"/>
    <s v="Expense"/>
    <s v="CN-C"/>
    <d v="2026-06-0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35"/>
    <s v="262323421"/>
    <s v="7.01.00"/>
    <s v="FP NB-Non-Billable Expenses"/>
    <s v="Expense"/>
    <s v="CN-C"/>
    <d v="2026-06-0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47"/>
    <s v="261144613"/>
    <s v="7.01.00"/>
    <s v="FP NB-Non-Billable Expenses"/>
    <s v="Expense"/>
    <s v="CN-C"/>
    <d v="2026-06-10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1499.41"/>
    <n v="0"/>
    <n v="0"/>
    <n v="0"/>
    <n v="1499.41"/>
    <s v="100 AED Tips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2779649"/>
    <s v="261144619"/>
    <s v="7.01.00"/>
    <s v="FP NB-Non-Billable Expenses"/>
    <s v="Expense"/>
    <s v="CN-C"/>
    <d v="2026-06-10T00:00:00"/>
    <x v="17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100 AED Tips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45"/>
    <s v="262323066"/>
    <s v="7.01.00"/>
    <s v="FP NB-Non-Billable Expenses"/>
    <s v="Expense"/>
    <s v="CN-C"/>
    <d v="2026-06-1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8.07"/>
    <n v="0"/>
    <n v="0"/>
    <n v="0"/>
    <n v="28.07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46"/>
    <s v="262323067"/>
    <s v="7.01.00"/>
    <s v="FP NB-Non-Billable Expenses"/>
    <s v="Expense"/>
    <s v="CN-C"/>
    <d v="2026-06-1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9.53"/>
    <n v="0"/>
    <n v="0"/>
    <n v="0"/>
    <n v="29.53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36"/>
    <s v="262323423"/>
    <s v="7.01.00"/>
    <s v="FP NB-Non-Billable Expenses"/>
    <s v="Expense"/>
    <s v="CN-C"/>
    <d v="2026-06-1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37"/>
    <s v="262323425"/>
    <s v="7.01.00"/>
    <s v="FP NB-Non-Billable Expenses"/>
    <s v="Expense"/>
    <s v="CN-C"/>
    <d v="2026-06-1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47"/>
    <s v="262323068"/>
    <s v="7.01.00"/>
    <s v="FP NB-Non-Billable Expenses"/>
    <s v="Expense"/>
    <s v="CN-C"/>
    <d v="2026-06-11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3.3"/>
    <n v="0"/>
    <n v="0"/>
    <n v="0"/>
    <n v="23.3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74"/>
    <s v="262323074"/>
    <s v="7.01.00"/>
    <s v="FP NB-Non-Billable Expenses"/>
    <s v="Expense"/>
    <s v="CN-C"/>
    <d v="2026-06-11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58.80000000000001"/>
    <n v="0"/>
    <n v="0"/>
    <n v="0"/>
    <n v="158.80000000000001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38"/>
    <s v="262323427"/>
    <s v="7.01.00"/>
    <s v="FP NB-Non-Billable Expenses"/>
    <s v="Expense"/>
    <s v="CN-C"/>
    <d v="2026-06-11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44"/>
    <s v="262323439"/>
    <s v="7.01.00"/>
    <s v="FP NB-Non-Billable Expenses"/>
    <s v="Expense"/>
    <s v="CN-C"/>
    <d v="2026-06-11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48"/>
    <s v="262323069"/>
    <s v="7.01.00"/>
    <s v="FP NB-Non-Billable Expenses"/>
    <s v="Expense"/>
    <s v="CN-C"/>
    <d v="2026-06-12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6.67"/>
    <n v="0"/>
    <n v="0"/>
    <n v="0"/>
    <n v="26.67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52"/>
    <s v="262323073"/>
    <s v="7.01.00"/>
    <s v="FP NB-Non-Billable Expenses"/>
    <s v="Expense"/>
    <s v="CN-C"/>
    <d v="2026-06-12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95.2"/>
    <n v="0"/>
    <n v="0"/>
    <n v="0"/>
    <n v="95.2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75"/>
    <s v="262323075"/>
    <s v="7.01.00"/>
    <s v="FP NB-Non-Billable Expenses"/>
    <s v="Expense"/>
    <s v="CN-C"/>
    <d v="2026-06-12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53.75"/>
    <n v="0"/>
    <n v="0"/>
    <n v="0"/>
    <n v="253.75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76"/>
    <s v="262323076"/>
    <s v="7.01.00"/>
    <s v="FP NB-Non-Billable Expenses"/>
    <s v="Expense"/>
    <s v="CN-C"/>
    <d v="2026-06-12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84"/>
    <n v="0"/>
    <n v="0"/>
    <n v="0"/>
    <n v="84"/>
    <s v="Laundr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39"/>
    <s v="262323429"/>
    <s v="7.01.00"/>
    <s v="FP NB-Non-Billable Expenses"/>
    <s v="Expense"/>
    <s v="CN-C"/>
    <d v="2026-06-12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43"/>
    <s v="262323437"/>
    <s v="7.01.00"/>
    <s v="FP NB-Non-Billable Expenses"/>
    <s v="Expense"/>
    <s v="CN-C"/>
    <d v="2026-06-12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45"/>
    <s v="262323441"/>
    <s v="7.01.00"/>
    <s v="FP NB-Non-Billable Expenses"/>
    <s v="Expense"/>
    <s v="CN-C"/>
    <d v="2026-06-12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58"/>
    <s v="262323443"/>
    <s v="7.01.00"/>
    <s v="FP NB-Non-Billable Expenses"/>
    <s v="Expense"/>
    <s v="CN-C"/>
    <d v="2026-06-12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Laundr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16"/>
    <s v="262323058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70.66"/>
    <n v="0"/>
    <n v="0"/>
    <n v="0"/>
    <n v="70.66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49"/>
    <s v="262323070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7.96"/>
    <n v="0"/>
    <n v="0"/>
    <n v="0"/>
    <n v="27.96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50"/>
    <s v="262323071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42.4"/>
    <n v="0"/>
    <n v="0"/>
    <n v="0"/>
    <n v="42.4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51"/>
    <s v="262323072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41.92"/>
    <n v="0"/>
    <n v="0"/>
    <n v="0"/>
    <n v="41.92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82"/>
    <s v="262323082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00"/>
    <n v="0"/>
    <n v="0"/>
    <n v="0"/>
    <n v="200"/>
    <s v="11 AED added as Tips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4"/>
    <s v="262323407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40"/>
    <s v="262323431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41"/>
    <s v="262323433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42"/>
    <s v="262323435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4"/>
    <s v="262323455"/>
    <s v="7.01.00"/>
    <s v="FP NB-Non-Billable Expenses"/>
    <s v="Expense"/>
    <s v="CN-C"/>
    <d v="2026-06-13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11 AED added as Tips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77"/>
    <s v="262323077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05.75"/>
    <n v="0"/>
    <n v="0"/>
    <n v="0"/>
    <n v="205.75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78"/>
    <s v="262323078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10"/>
    <n v="0"/>
    <n v="0"/>
    <n v="0"/>
    <n v="210"/>
    <s v="Miscellaneous-Internet/Phone - While Traveling / On Assignments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79"/>
    <s v="262323079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77.86"/>
    <n v="0"/>
    <n v="0"/>
    <n v="0"/>
    <n v="77.86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80"/>
    <s v="262323080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38.11000000000001"/>
    <n v="0"/>
    <n v="0"/>
    <n v="0"/>
    <n v="138.11000000000001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81"/>
    <s v="262323081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88.9"/>
    <n v="0"/>
    <n v="0"/>
    <n v="0"/>
    <n v="88.9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83"/>
    <s v="262323083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09.42"/>
    <n v="0"/>
    <n v="0"/>
    <n v="0"/>
    <n v="109.42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1"/>
    <s v="262323084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83.27"/>
    <n v="0"/>
    <n v="0"/>
    <n v="0"/>
    <n v="83.27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6"/>
    <s v="262323089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58.7"/>
    <n v="0"/>
    <n v="0"/>
    <n v="0"/>
    <n v="58.7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59"/>
    <s v="262323445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0"/>
    <s v="262323447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Internet/Phone - While Traveling / On Assignments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1"/>
    <s v="262323449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2"/>
    <s v="262323451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3"/>
    <s v="262323453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5"/>
    <s v="262323457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6"/>
    <s v="262323459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88"/>
    <s v="262323469"/>
    <s v="7.01.00"/>
    <s v="FP NB-Non-Billable Expenses"/>
    <s v="Expense"/>
    <s v="CN-C"/>
    <d v="2026-06-14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2"/>
    <s v="262323085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80.819999999999993"/>
    <n v="0"/>
    <n v="0"/>
    <n v="0"/>
    <n v="80.819999999999993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3"/>
    <s v="262323086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54.83"/>
    <n v="0"/>
    <n v="0"/>
    <n v="0"/>
    <n v="54.83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4"/>
    <s v="262323087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25.74"/>
    <n v="0"/>
    <n v="0"/>
    <n v="0"/>
    <n v="125.74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5"/>
    <s v="262323088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72"/>
    <n v="0"/>
    <n v="0"/>
    <n v="0"/>
    <n v="72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8"/>
    <s v="262323091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45"/>
    <n v="0"/>
    <n v="0"/>
    <n v="0"/>
    <n v="45"/>
    <s v="Cinema Movie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9"/>
    <s v="262323092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23.44"/>
    <n v="0"/>
    <n v="0"/>
    <n v="0"/>
    <n v="123.44"/>
    <s v="This order is refunded as it is cancelled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20"/>
    <s v="262323093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23.25"/>
    <n v="0"/>
    <n v="0"/>
    <n v="0"/>
    <n v="123.25"/>
    <s v="Cinema -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7"/>
    <s v="262323461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68"/>
    <s v="262323463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86"/>
    <s v="262323465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87"/>
    <s v="262323467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90"/>
    <s v="262323473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Cinema Movie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91"/>
    <s v="262323475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This order is refunded as it is cancelled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92"/>
    <s v="262323477"/>
    <s v="7.01.00"/>
    <s v="FP NB-Non-Billable Expenses"/>
    <s v="Expense"/>
    <s v="CN-C"/>
    <d v="2026-06-15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Cinema -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17"/>
    <s v="262323090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-123.44"/>
    <n v="0"/>
    <n v="0"/>
    <n v="0"/>
    <n v="-123.44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1"/>
    <s v="262323094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70.48"/>
    <n v="0"/>
    <n v="0"/>
    <n v="0"/>
    <n v="70.48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2"/>
    <s v="262323095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36.97"/>
    <n v="0"/>
    <n v="0"/>
    <n v="0"/>
    <n v="36.97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3"/>
    <s v="262323096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2.57"/>
    <n v="0"/>
    <n v="0"/>
    <n v="0"/>
    <n v="22.57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4"/>
    <s v="262323097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30"/>
    <n v="0"/>
    <n v="0"/>
    <n v="0"/>
    <n v="3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5"/>
    <s v="262323098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02.5"/>
    <n v="0"/>
    <n v="0"/>
    <n v="0"/>
    <n v="102.5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89"/>
    <s v="262323471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93"/>
    <s v="262323479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94"/>
    <s v="262323481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95"/>
    <s v="262323483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96"/>
    <s v="262323485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13"/>
    <s v="262323487"/>
    <s v="7.01.00"/>
    <s v="FP NB-Non-Billable Expenses"/>
    <s v="Expense"/>
    <s v="CN-C"/>
    <d v="2026-06-16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39903"/>
    <s v="262323511"/>
    <s v="7.01.00"/>
    <s v="FP NB-Non-Billable Expenses"/>
    <s v="Expense"/>
    <s v="CN-C"/>
    <d v="2026-06-17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6"/>
    <s v="262323099"/>
    <s v="7.01.00"/>
    <s v="FP NB-Non-Billable Expenses"/>
    <s v="Expense"/>
    <s v="CN-C"/>
    <d v="2026-06-17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66.55"/>
    <n v="0"/>
    <n v="0"/>
    <n v="0"/>
    <n v="66.55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7"/>
    <s v="262323100"/>
    <s v="7.01.00"/>
    <s v="FP NB-Non-Billable Expenses"/>
    <s v="Expense"/>
    <s v="CN-C"/>
    <d v="2026-06-17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3.73"/>
    <n v="0"/>
    <n v="0"/>
    <n v="0"/>
    <n v="23.73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8"/>
    <s v="262323101"/>
    <s v="7.01.00"/>
    <s v="FP NB-Non-Billable Expenses"/>
    <s v="Expense"/>
    <s v="CN-C"/>
    <d v="2026-06-17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5.8"/>
    <n v="0"/>
    <n v="0"/>
    <n v="0"/>
    <n v="25.8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92"/>
    <s v="262323110"/>
    <s v="7.01.00"/>
    <s v="FP NB-Non-Billable Expenses"/>
    <s v="Expense"/>
    <s v="CN-C"/>
    <d v="2026-06-17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55.5"/>
    <n v="0"/>
    <n v="0"/>
    <n v="0"/>
    <n v="55.5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14"/>
    <s v="262323489"/>
    <s v="7.01.00"/>
    <s v="FP NB-Non-Billable Expenses"/>
    <s v="Expense"/>
    <s v="CN-C"/>
    <d v="2026-06-17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15"/>
    <s v="262323491"/>
    <s v="7.01.00"/>
    <s v="FP NB-Non-Billable Expenses"/>
    <s v="Expense"/>
    <s v="CN-C"/>
    <d v="2026-06-17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16"/>
    <s v="262323493"/>
    <s v="7.01.00"/>
    <s v="FP NB-Non-Billable Expenses"/>
    <s v="Expense"/>
    <s v="CN-C"/>
    <d v="2026-06-17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39907"/>
    <s v="262323519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17"/>
    <s v="262323059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1.47"/>
    <n v="0"/>
    <n v="0"/>
    <n v="0"/>
    <n v="21.47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59"/>
    <s v="262323102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7"/>
    <n v="0"/>
    <n v="0"/>
    <n v="0"/>
    <n v="17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60"/>
    <s v="262323103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401.9"/>
    <n v="0"/>
    <n v="0"/>
    <n v="0"/>
    <n v="401.9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86"/>
    <s v="262323104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7.5"/>
    <n v="0"/>
    <n v="0"/>
    <n v="0"/>
    <n v="27.5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87"/>
    <s v="262323105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74.62"/>
    <n v="0"/>
    <n v="0"/>
    <n v="0"/>
    <n v="74.62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89"/>
    <s v="262323107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384.38"/>
    <n v="0"/>
    <n v="0"/>
    <n v="0"/>
    <n v="384.38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1"/>
    <s v="262323114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84.8"/>
    <n v="0"/>
    <n v="0"/>
    <n v="0"/>
    <n v="184.8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5"/>
    <s v="262323409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17"/>
    <s v="262323495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18"/>
    <s v="262323497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19"/>
    <s v="262323499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20"/>
    <s v="262323501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22"/>
    <s v="262323505"/>
    <s v="7.01.00"/>
    <s v="FP NB-Non-Billable Expenses"/>
    <s v="Expense"/>
    <s v="CN-C"/>
    <d v="2026-06-18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39904"/>
    <s v="262323513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39905"/>
    <s v="262323515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Cinema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39906"/>
    <s v="262323517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39908"/>
    <s v="262323521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18"/>
    <s v="262323060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3.67"/>
    <n v="0"/>
    <n v="0"/>
    <n v="0"/>
    <n v="23.67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88"/>
    <s v="262323106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22.95"/>
    <n v="0"/>
    <n v="0"/>
    <n v="0"/>
    <n v="22.95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93"/>
    <s v="262323111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46.5"/>
    <n v="0"/>
    <n v="0"/>
    <n v="0"/>
    <n v="46.5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94"/>
    <s v="262323112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75"/>
    <n v="0"/>
    <n v="0"/>
    <n v="0"/>
    <n v="175"/>
    <s v="Cinema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95"/>
    <s v="262323113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43"/>
    <n v="0"/>
    <n v="0"/>
    <n v="0"/>
    <n v="43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2"/>
    <s v="262323115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13.2"/>
    <n v="0"/>
    <n v="0"/>
    <n v="0"/>
    <n v="113.2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6"/>
    <s v="262323411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21"/>
    <s v="262323503"/>
    <s v="7.01.00"/>
    <s v="FP NB-Non-Billable Expenses"/>
    <s v="Expense"/>
    <s v="CN-C"/>
    <d v="2026-06-19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39902"/>
    <s v="262323509"/>
    <s v="7.01.00"/>
    <s v="FP NB-Non-Billable Expenses"/>
    <s v="Expense"/>
    <s v="CN-C"/>
    <d v="2026-06-2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39909"/>
    <s v="262323523"/>
    <s v="7.01.00"/>
    <s v="FP NB-Non-Billable Expenses"/>
    <s v="Expense"/>
    <s v="CN-C"/>
    <d v="2026-06-2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019"/>
    <s v="262323061"/>
    <s v="7.01.00"/>
    <s v="FP NB-Non-Billable Expenses"/>
    <s v="Expense"/>
    <s v="CN-C"/>
    <d v="2026-06-2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80.92"/>
    <n v="0"/>
    <n v="0"/>
    <n v="0"/>
    <n v="80.92"/>
    <s v="Taxi to Home - 1000 LE + 100 LE Tip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90"/>
    <s v="262323108"/>
    <s v="7.01.00"/>
    <s v="FP NB-Non-Billable Expenses"/>
    <s v="Expense"/>
    <s v="CN-C"/>
    <d v="2026-06-2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42.98"/>
    <n v="0"/>
    <n v="0"/>
    <n v="0"/>
    <n v="42.98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191"/>
    <s v="262323109"/>
    <s v="7.01.00"/>
    <s v="FP NB-Non-Billable Expenses"/>
    <s v="Expense"/>
    <s v="CN-C"/>
    <d v="2026-06-2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121.97"/>
    <n v="0"/>
    <n v="0"/>
    <n v="0"/>
    <n v="121.97"/>
    <s v="Miscellaneous-Transportation - Taxi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3"/>
    <s v="262323116"/>
    <s v="7.01.00"/>
    <s v="FP NB-Non-Billable Expenses"/>
    <s v="Expense"/>
    <s v="CN-C"/>
    <d v="2026-06-2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452.85"/>
    <n v="0"/>
    <n v="0"/>
    <n v="0"/>
    <n v="452.85"/>
    <s v="Meals-Meals - Employee(s) Only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217"/>
    <s v="262323413"/>
    <s v="7.01.00"/>
    <s v="FP NB-Non-Billable Expenses"/>
    <s v="Expense"/>
    <s v="CN-C"/>
    <d v="2026-06-2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Taxi to Home - 1000 LE + 100 LE Tip"/>
  </r>
  <r>
    <s v="ORCL AE"/>
    <s v="0069"/>
    <s v="509505 - 75M: EMEA Digital - PaaS"/>
    <x v="0"/>
    <x v="0"/>
    <m/>
    <s v="FP"/>
    <s v="Active"/>
    <s v="amr.h.hossam@oracle.com"/>
    <s v="ABU Dhabi Distribution Company"/>
    <s v="301018758"/>
    <s v="A7ZNQZ_ FP_TECH TAQA Fusion Analytics Accelerator CLOUD_400379228"/>
    <m/>
    <m/>
    <s v="214041323"/>
    <s v="262323507"/>
    <s v="7.01.00"/>
    <s v="FP NB-Non-Billable Expenses"/>
    <s v="Expense"/>
    <s v="CN-C"/>
    <d v="2026-06-20T00:00:00"/>
    <x v="19"/>
    <x v="26"/>
    <s v="Employee"/>
    <s v="8"/>
    <s v="ORCL EG"/>
    <s v="502416 - 3WP-EMEA Delivery Middleware - IaaS"/>
    <s v="008U"/>
    <s v="Y"/>
    <s v="N"/>
    <s v="Unrecognized"/>
    <m/>
    <s v="AED"/>
    <m/>
    <m/>
    <n v="0"/>
    <n v="0"/>
    <n v="0"/>
    <n v="0"/>
    <n v="0"/>
    <s v="Miscellaneous-Transportation - Taxi"/>
  </r>
  <r>
    <m/>
    <m/>
    <s v="Number of Rows :"/>
    <x v="1"/>
    <x v="1"/>
    <m/>
    <m/>
    <m/>
    <m/>
    <m/>
    <m/>
    <m/>
    <m/>
    <m/>
    <m/>
    <m/>
    <m/>
    <m/>
    <m/>
    <m/>
    <m/>
    <x v="26"/>
    <x v="29"/>
    <m/>
    <m/>
    <m/>
    <m/>
    <m/>
    <m/>
    <m/>
    <m/>
    <m/>
    <m/>
    <m/>
    <m/>
    <m/>
    <m/>
    <m/>
    <m/>
    <m/>
    <m/>
  </r>
  <r>
    <m/>
    <m/>
    <m/>
    <x v="2"/>
    <x v="1"/>
    <m/>
    <m/>
    <m/>
    <m/>
    <m/>
    <m/>
    <m/>
    <m/>
    <m/>
    <m/>
    <m/>
    <m/>
    <m/>
    <m/>
    <m/>
    <m/>
    <x v="26"/>
    <x v="29"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9"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78827"/>
    <s v="3029605144319912"/>
    <s v="1.01.00"/>
    <s v="FP Labor -Billable Cost"/>
    <s v="Labor"/>
    <s v="CO-C"/>
    <d v="2026-01-01T00:00:00"/>
    <x v="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3744"/>
    <s v="3029619017893911"/>
    <s v="1.01.00"/>
    <s v="FP Labor -Billable Cost"/>
    <s v="Labor"/>
    <s v="CO-C"/>
    <d v="2026-01-01T00:00:00"/>
    <x v="0"/>
    <x v="1"/>
    <s v="Employee"/>
    <s v="5"/>
    <s v="ORCL EG"/>
    <s v="502416 - 3WP-EMEA Delivery Middleware - IaaS"/>
    <s v="008U"/>
    <s v="Y"/>
    <s v="Y"/>
    <s v="Unrecognized"/>
    <n v="8"/>
    <s v="AED"/>
    <n v="61.3"/>
    <n v="660.13"/>
    <n v="490.3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78818"/>
    <s v="3029631743307471"/>
    <s v="1.01.00"/>
    <s v="FP Labor -Billable Cost"/>
    <s v="Labor"/>
    <s v="CO-C"/>
    <d v="2026-01-02T00:00:00"/>
    <x v="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4021"/>
    <s v="3029618971211091"/>
    <s v="1.01.00"/>
    <s v="FP Labor -Billable Cost"/>
    <s v="Labor"/>
    <s v="CO-C"/>
    <d v="2026-01-04T00:00:00"/>
    <x v="1"/>
    <x v="1"/>
    <s v="Employee"/>
    <s v="5"/>
    <s v="ORCL EG"/>
    <s v="502416 - 3WP-EMEA Delivery Middleware - IaaS"/>
    <s v="008U"/>
    <s v="Y"/>
    <s v="Y"/>
    <s v="Unrecognized"/>
    <n v="8"/>
    <s v="AED"/>
    <n v="61.3"/>
    <n v="660.13"/>
    <n v="490.3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56"/>
    <s v="3029620305609501"/>
    <s v="1.01.00"/>
    <s v="FP Labor -Billable Cost"/>
    <s v="Labor"/>
    <s v="CO-C"/>
    <d v="2026-01-04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60378"/>
    <s v="3029605144659642"/>
    <s v="1.01.00"/>
    <s v="FP Labor -Billable Cost"/>
    <s v="Labor"/>
    <s v="CO-C"/>
    <d v="2026-01-05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4020"/>
    <s v="3029618971211111"/>
    <s v="1.01.00"/>
    <s v="FP Labor -Billable Cost"/>
    <s v="Labor"/>
    <s v="CO-C"/>
    <d v="2026-01-05T00:00:00"/>
    <x v="1"/>
    <x v="1"/>
    <s v="Employee"/>
    <s v="5"/>
    <s v="ORCL EG"/>
    <s v="502416 - 3WP-EMEA Delivery Middleware - IaaS"/>
    <s v="008U"/>
    <s v="Y"/>
    <s v="Y"/>
    <s v="Unrecognized"/>
    <n v="8"/>
    <s v="AED"/>
    <n v="61.3"/>
    <n v="660.13"/>
    <n v="490.3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4912"/>
    <s v="1523117629:2"/>
    <s v="1.01.00"/>
    <s v="FP Labor -Billable Cost"/>
    <s v="Labor"/>
    <s v="CO-C"/>
    <d v="2026-01-05T00:00:00"/>
    <x v="1"/>
    <x v="3"/>
    <s v="Employee"/>
    <s v="6"/>
    <s v="ORCL IN OSSI"/>
    <s v="504506 - 94V:GSC-eStudio"/>
    <s v="09B4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05370"/>
    <s v="1523150668:1"/>
    <s v="1.01.00"/>
    <s v="FP Labor -Billable Cost"/>
    <s v="Labor"/>
    <s v="CO-C"/>
    <d v="2026-01-05T00:00:00"/>
    <x v="1"/>
    <x v="4"/>
    <s v="Employee"/>
    <s v="6"/>
    <s v="ORCL PT"/>
    <s v="503896 - 6FT:EMEA OCS Tech Other Delivery"/>
    <s v="0057"/>
    <s v="Y"/>
    <s v="Y"/>
    <s v="Unrecognized"/>
    <n v="8"/>
    <s v="AED"/>
    <n v="308.20999999999998"/>
    <n v="754.44"/>
    <n v="2465.6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55"/>
    <s v="3029620305609521"/>
    <s v="1.01.00"/>
    <s v="FP Labor -Billable Cost"/>
    <s v="Labor"/>
    <s v="CO-C"/>
    <d v="2026-01-05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4019"/>
    <s v="3029618971211131"/>
    <s v="1.01.00"/>
    <s v="FP Labor -Billable Cost"/>
    <s v="Labor"/>
    <s v="CO-C"/>
    <d v="2026-01-06T00:00:00"/>
    <x v="1"/>
    <x v="1"/>
    <s v="Employee"/>
    <s v="5"/>
    <s v="ORCL EG"/>
    <s v="502416 - 3WP-EMEA Delivery Middleware - IaaS"/>
    <s v="008U"/>
    <s v="Y"/>
    <s v="Y"/>
    <s v="Unrecognized"/>
    <n v="8"/>
    <s v="AED"/>
    <n v="61.3"/>
    <n v="660.13"/>
    <n v="490.3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3338"/>
    <s v="1523117630:2"/>
    <s v="1.01.00"/>
    <s v="FP Labor -Billable Cost"/>
    <s v="Labor"/>
    <s v="CO-C"/>
    <d v="2026-01-06T00:00:00"/>
    <x v="1"/>
    <x v="3"/>
    <s v="Employee"/>
    <s v="6"/>
    <s v="ORCL IN OSSI"/>
    <s v="504506 - 94V:GSC-eStudio"/>
    <s v="09B4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54"/>
    <s v="3029620305609541"/>
    <s v="1.01.00"/>
    <s v="FP Labor -Billable Cost"/>
    <s v="Labor"/>
    <s v="CO-C"/>
    <d v="2026-01-06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60382"/>
    <s v="3029605144659682"/>
    <s v="1.01.00"/>
    <s v="FP Labor -Billable Cost"/>
    <s v="Labor"/>
    <s v="CO-C"/>
    <d v="2026-01-07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21949"/>
    <s v="1522775593:2"/>
    <s v="1.01.00"/>
    <s v="FP Labor -Billable Cost"/>
    <s v="Labor"/>
    <s v="CO-C"/>
    <d v="2026-01-07T00:00:00"/>
    <x v="1"/>
    <x v="5"/>
    <s v="Employee"/>
    <s v="4"/>
    <s v="ORCL IT"/>
    <s v="503896 - 6FT:EMEA OCS Tech Other Delivery"/>
    <s v="0048"/>
    <s v="Y"/>
    <s v="Y"/>
    <s v="Unrecognized"/>
    <n v="8"/>
    <s v="AED"/>
    <n v="259.08999999999997"/>
    <n v="542.25"/>
    <n v="2072.719999999999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3465"/>
    <s v="1523117631:2"/>
    <s v="1.01.00"/>
    <s v="FP Labor -Billable Cost"/>
    <s v="Labor"/>
    <s v="CO-C"/>
    <d v="2026-01-07T00:00:00"/>
    <x v="1"/>
    <x v="3"/>
    <s v="Employee"/>
    <s v="6"/>
    <s v="ORCL IN OSSI"/>
    <s v="504506 - 94V:GSC-eStudio"/>
    <s v="09B4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05341"/>
    <s v="1523150666:1"/>
    <s v="1.01.00"/>
    <s v="FP Labor -Billable Cost"/>
    <s v="Labor"/>
    <s v="CO-C"/>
    <d v="2026-01-07T00:00:00"/>
    <x v="1"/>
    <x v="4"/>
    <s v="Employee"/>
    <s v="6"/>
    <s v="ORCL PT"/>
    <s v="503896 - 6FT:EMEA OCS Tech Other Delivery"/>
    <s v="0057"/>
    <s v="Y"/>
    <s v="Y"/>
    <s v="Unrecognized"/>
    <n v="4"/>
    <s v="AED"/>
    <n v="305.83999999999997"/>
    <n v="754.44"/>
    <n v="1223.3399999999999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53"/>
    <s v="3029620305609561"/>
    <s v="1.01.00"/>
    <s v="FP Labor -Billable Cost"/>
    <s v="Labor"/>
    <s v="CO-C"/>
    <d v="2026-01-07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67404"/>
    <s v="3029617437053551"/>
    <s v="1.01.00"/>
    <s v="FP Labor -Billable Cost"/>
    <s v="Labor"/>
    <s v="CO-C"/>
    <d v="2026-01-07T00:00:00"/>
    <x v="1"/>
    <x v="6"/>
    <s v="Employee"/>
    <s v="7"/>
    <s v="ORCL CY"/>
    <s v="503896 - 6FT:EMEA OCS Tech Other Delivery"/>
    <s v="010K"/>
    <s v="Y"/>
    <s v="Y"/>
    <s v="Unrecognized"/>
    <n v="8"/>
    <s v="AED"/>
    <n v="271.41000000000003"/>
    <n v="813.38"/>
    <n v="2171.28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60380"/>
    <s v="3029605144659702"/>
    <s v="1.01.00"/>
    <s v="FP Labor -Billable Cost"/>
    <s v="Labor"/>
    <s v="CO-C"/>
    <d v="2026-01-08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4018"/>
    <s v="3029618971211171"/>
    <s v="1.01.00"/>
    <s v="FP Labor -Billable Cost"/>
    <s v="Labor"/>
    <s v="CO-C"/>
    <d v="2026-01-08T00:00:00"/>
    <x v="1"/>
    <x v="1"/>
    <s v="Employee"/>
    <s v="5"/>
    <s v="ORCL EG"/>
    <s v="502416 - 3WP-EMEA Delivery Middleware - IaaS"/>
    <s v="008U"/>
    <s v="Y"/>
    <s v="Y"/>
    <s v="Unrecognized"/>
    <n v="8"/>
    <s v="AED"/>
    <n v="61.51"/>
    <n v="660.13"/>
    <n v="492.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22013"/>
    <s v="1522775594:2"/>
    <s v="1.01.00"/>
    <s v="FP Labor -Billable Cost"/>
    <s v="Labor"/>
    <s v="CO-C"/>
    <d v="2026-01-08T00:00:00"/>
    <x v="1"/>
    <x v="5"/>
    <s v="Employee"/>
    <s v="4"/>
    <s v="ORCL IT"/>
    <s v="503896 - 6FT:EMEA OCS Tech Other Delivery"/>
    <s v="0048"/>
    <s v="Y"/>
    <s v="Y"/>
    <s v="Unrecognized"/>
    <n v="8"/>
    <s v="AED"/>
    <n v="258.85000000000002"/>
    <n v="542.25"/>
    <n v="2070.7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2962"/>
    <s v="1523117632:2"/>
    <s v="1.01.00"/>
    <s v="FP Labor -Billable Cost"/>
    <s v="Labor"/>
    <s v="CO-C"/>
    <d v="2026-01-08T00:00:00"/>
    <x v="1"/>
    <x v="3"/>
    <s v="Employee"/>
    <s v="6"/>
    <s v="ORCL IN OSSI"/>
    <s v="504506 - 94V:GSC-eStudio"/>
    <s v="09B4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3942"/>
    <s v="3029621604878671"/>
    <s v="1.01.00"/>
    <s v="FP Labor -Billable Cost"/>
    <s v="Labor"/>
    <s v="CO-C"/>
    <d v="2026-01-08T00:00:00"/>
    <x v="1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3814"/>
    <s v="3029617437053571"/>
    <s v="1.01.00"/>
    <s v="FP Labor -Billable Cost"/>
    <s v="Labor"/>
    <s v="CO-C"/>
    <d v="2026-01-08T00:00:00"/>
    <x v="1"/>
    <x v="6"/>
    <s v="Employee"/>
    <s v="7"/>
    <s v="ORCL CY"/>
    <s v="503896 - 6FT:EMEA OCS Tech Other Delivery"/>
    <s v="010K"/>
    <s v="Y"/>
    <s v="Y"/>
    <s v="Unrecognized"/>
    <n v="8"/>
    <s v="AED"/>
    <n v="271.14999999999998"/>
    <n v="813.38"/>
    <n v="2169.2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78847"/>
    <s v="3029631738334901"/>
    <s v="1.01.00"/>
    <s v="FP Labor -Billable Cost"/>
    <s v="Labor"/>
    <s v="CO-C"/>
    <d v="2026-01-09T00:00:00"/>
    <x v="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21934"/>
    <s v="1522775616:1"/>
    <s v="1.01.00"/>
    <s v="FP Labor -Billable Cost"/>
    <s v="Labor"/>
    <s v="CO-C"/>
    <d v="2026-01-09T00:00:00"/>
    <x v="1"/>
    <x v="5"/>
    <s v="Employee"/>
    <s v="4"/>
    <s v="ORCL IT"/>
    <s v="503896 - 6FT:EMEA OCS Tech Other Delivery"/>
    <s v="0048"/>
    <s v="Y"/>
    <s v="Y"/>
    <s v="Unrecognized"/>
    <n v="8"/>
    <s v="AED"/>
    <n v="258.36"/>
    <n v="542.25"/>
    <n v="2066.8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0011"/>
    <s v="1523117633:2"/>
    <s v="1.01.00"/>
    <s v="FP Labor -Billable Cost"/>
    <s v="Labor"/>
    <s v="CO-C"/>
    <d v="2026-01-09T00:00:00"/>
    <x v="1"/>
    <x v="3"/>
    <s v="Employee"/>
    <s v="6"/>
    <s v="ORCL IN OSSI"/>
    <s v="504506 - 94V:GSC-eStudio"/>
    <s v="09B4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05468"/>
    <s v="1523150665:1"/>
    <s v="1.01.00"/>
    <s v="FP Labor -Billable Cost"/>
    <s v="Labor"/>
    <s v="CO-C"/>
    <d v="2026-01-09T00:00:00"/>
    <x v="1"/>
    <x v="4"/>
    <s v="Employee"/>
    <s v="6"/>
    <s v="ORCL PT"/>
    <s v="503896 - 6FT:EMEA OCS Tech Other Delivery"/>
    <s v="0057"/>
    <s v="Y"/>
    <s v="Y"/>
    <s v="Unrecognized"/>
    <n v="4"/>
    <s v="AED"/>
    <n v="304.97000000000003"/>
    <n v="754.44"/>
    <n v="1219.8900000000001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97481"/>
    <s v="3029617437053591"/>
    <s v="1.01.00"/>
    <s v="FP Labor -Billable Cost"/>
    <s v="Labor"/>
    <s v="CO-C"/>
    <d v="2026-01-09T00:00:00"/>
    <x v="1"/>
    <x v="6"/>
    <s v="Employee"/>
    <s v="7"/>
    <s v="ORCL CY"/>
    <s v="503896 - 6FT:EMEA OCS Tech Other Delivery"/>
    <s v="010K"/>
    <s v="Y"/>
    <s v="Y"/>
    <s v="Unrecognized"/>
    <n v="8"/>
    <s v="AED"/>
    <n v="270.64"/>
    <n v="813.38"/>
    <n v="2165.1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59"/>
    <s v="3029620306199661"/>
    <s v="1.01.00"/>
    <s v="FP Labor -Billable Cost"/>
    <s v="Labor"/>
    <s v="CO-C"/>
    <d v="2026-01-11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3392"/>
    <s v="3029618986734051"/>
    <s v="1.01.00"/>
    <s v="FP Labor -Billable Cost"/>
    <s v="Labor"/>
    <s v="CO-C"/>
    <d v="2026-01-12T00:00:00"/>
    <x v="2"/>
    <x v="1"/>
    <s v="Employee"/>
    <s v="5"/>
    <s v="ORCL EG"/>
    <s v="502416 - 3WP-EMEA Delivery Middleware - IaaS"/>
    <s v="008U"/>
    <s v="Y"/>
    <s v="Y"/>
    <s v="Unrecognized"/>
    <n v="8"/>
    <s v="AED"/>
    <n v="61.53"/>
    <n v="660.13"/>
    <n v="492.2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49357"/>
    <s v="1524064843:1"/>
    <s v="1.01.00"/>
    <s v="FP Labor -Billable Cost"/>
    <s v="Labor"/>
    <s v="CO-C"/>
    <d v="2026-01-12T00:00:00"/>
    <x v="2"/>
    <x v="5"/>
    <s v="Employee"/>
    <s v="4"/>
    <s v="ORCL IT"/>
    <s v="503896 - 6FT:EMEA OCS Tech Other Delivery"/>
    <s v="0048"/>
    <s v="Y"/>
    <s v="Y"/>
    <s v="Unrecognized"/>
    <n v="8"/>
    <s v="AED"/>
    <n v="258.36"/>
    <n v="542.25"/>
    <n v="2066.8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5995"/>
    <s v="1523117854:1"/>
    <s v="1.01.00"/>
    <s v="FP Labor -Billable Cost"/>
    <s v="Labor"/>
    <s v="CO-C"/>
    <d v="2026-01-12T00:00:00"/>
    <x v="2"/>
    <x v="3"/>
    <s v="Employee"/>
    <s v="6"/>
    <s v="ORCL IN OSSI"/>
    <s v="504506 - 94V:GSC-eStudio"/>
    <s v="09B4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2150"/>
    <s v="1523150773:1"/>
    <s v="1.01.00"/>
    <s v="FP Labor -Billable Cost"/>
    <s v="Labor"/>
    <s v="CO-C"/>
    <d v="2026-01-12T00:00:00"/>
    <x v="2"/>
    <x v="4"/>
    <s v="Employee"/>
    <s v="6"/>
    <s v="ORCL PT"/>
    <s v="503896 - 6FT:EMEA OCS Tech Other Delivery"/>
    <s v="0057"/>
    <s v="Y"/>
    <s v="Y"/>
    <s v="Unrecognized"/>
    <n v="8"/>
    <s v="AED"/>
    <n v="304.97000000000003"/>
    <n v="754.44"/>
    <n v="2439.7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58"/>
    <s v="3029620306199681"/>
    <s v="1.01.00"/>
    <s v="FP Labor -Billable Cost"/>
    <s v="Labor"/>
    <s v="CO-C"/>
    <d v="2026-01-12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0785"/>
    <s v="3029605144561162"/>
    <s v="1.01.00"/>
    <s v="FP Labor -Billable Cost"/>
    <s v="Labor"/>
    <s v="CO-C"/>
    <d v="2026-01-13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041"/>
    <s v="3029618986734071"/>
    <s v="1.01.00"/>
    <s v="FP Labor -Billable Cost"/>
    <s v="Labor"/>
    <s v="CO-C"/>
    <d v="2026-01-13T00:00:00"/>
    <x v="2"/>
    <x v="1"/>
    <s v="Employee"/>
    <s v="5"/>
    <s v="ORCL EG"/>
    <s v="502416 - 3WP-EMEA Delivery Middleware - IaaS"/>
    <s v="008U"/>
    <s v="Y"/>
    <s v="Y"/>
    <s v="Unrecognized"/>
    <n v="8"/>
    <s v="AED"/>
    <n v="61.67"/>
    <n v="660.13"/>
    <n v="493.3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7206"/>
    <s v="1522775665:1"/>
    <s v="1.01.00"/>
    <s v="FP Labor -Billable Cost"/>
    <s v="Labor"/>
    <s v="CO-C"/>
    <d v="2026-01-13T00:00:00"/>
    <x v="2"/>
    <x v="5"/>
    <s v="Employee"/>
    <s v="4"/>
    <s v="ORCL IT"/>
    <s v="503896 - 6FT:EMEA OCS Tech Other Delivery"/>
    <s v="0048"/>
    <s v="Y"/>
    <s v="Y"/>
    <s v="Unrecognized"/>
    <n v="8"/>
    <s v="AED"/>
    <n v="258.52999999999997"/>
    <n v="542.25"/>
    <n v="2068.199999999999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1688"/>
    <s v="1523117855:1"/>
    <s v="1.01.00"/>
    <s v="FP Labor -Billable Cost"/>
    <s v="Labor"/>
    <s v="CO-C"/>
    <d v="2026-01-13T00:00:00"/>
    <x v="2"/>
    <x v="3"/>
    <s v="Employee"/>
    <s v="6"/>
    <s v="ORCL IN OSSI"/>
    <s v="504506 - 94V:GSC-eStudio"/>
    <s v="09B4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57"/>
    <s v="3029620306199701"/>
    <s v="1.01.00"/>
    <s v="FP Labor -Billable Cost"/>
    <s v="Labor"/>
    <s v="CO-C"/>
    <d v="2026-01-13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0775"/>
    <s v="3029605144561182"/>
    <s v="1.01.00"/>
    <s v="FP Labor -Billable Cost"/>
    <s v="Labor"/>
    <s v="CO-C"/>
    <d v="2026-01-14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77327"/>
    <s v="3029618987459411"/>
    <s v="1.01.00"/>
    <s v="FP Labor -Billable Cost"/>
    <s v="Labor"/>
    <s v="CO-C"/>
    <d v="2026-01-14T00:00:00"/>
    <x v="2"/>
    <x v="1"/>
    <s v="Employee"/>
    <s v="5"/>
    <s v="ORCL EG"/>
    <s v="502416 - 3WP-EMEA Delivery Middleware - IaaS"/>
    <s v="008U"/>
    <s v="Y"/>
    <s v="Y"/>
    <s v="Unrecognized"/>
    <n v="8"/>
    <s v="AED"/>
    <n v="61.7"/>
    <n v="660.13"/>
    <n v="493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81905"/>
    <s v="1522775666:1"/>
    <s v="1.01.00"/>
    <s v="FP Labor -Billable Cost"/>
    <s v="Labor"/>
    <s v="CO-C"/>
    <d v="2026-01-14T00:00:00"/>
    <x v="2"/>
    <x v="5"/>
    <s v="Employee"/>
    <s v="4"/>
    <s v="ORCL IT"/>
    <s v="503896 - 6FT:EMEA OCS Tech Other Delivery"/>
    <s v="0048"/>
    <s v="Y"/>
    <s v="Y"/>
    <s v="Unrecognized"/>
    <n v="8"/>
    <s v="AED"/>
    <n v="258.13"/>
    <n v="542.25"/>
    <n v="2065.010000000000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621037"/>
    <s v="1523987639:1"/>
    <s v="1.01.00"/>
    <s v="FP Labor -Billable Cost"/>
    <s v="Labor"/>
    <s v="CO-C"/>
    <d v="2026-01-14T00:00:00"/>
    <x v="2"/>
    <x v="4"/>
    <s v="Employee"/>
    <s v="6"/>
    <s v="ORCL PT"/>
    <s v="503896 - 6FT:EMEA OCS Tech Other Delivery"/>
    <s v="0057"/>
    <s v="Y"/>
    <s v="Y"/>
    <s v="Unrecognized"/>
    <n v="8"/>
    <s v="AED"/>
    <n v="304.7"/>
    <n v="754.44"/>
    <n v="2437.57000000000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77398"/>
    <s v="3029620306199721"/>
    <s v="1.01.00"/>
    <s v="FP Labor -Billable Cost"/>
    <s v="Labor"/>
    <s v="CO-C"/>
    <d v="2026-01-14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3900"/>
    <s v="3029617437335031"/>
    <s v="1.01.00"/>
    <s v="FP Labor -Billable Cost"/>
    <s v="Labor"/>
    <s v="CO-C"/>
    <d v="2026-01-14T00:00:00"/>
    <x v="2"/>
    <x v="6"/>
    <s v="Employee"/>
    <s v="7"/>
    <s v="ORCL CY"/>
    <s v="503896 - 6FT:EMEA OCS Tech Other Delivery"/>
    <s v="010K"/>
    <s v="Y"/>
    <s v="Y"/>
    <s v="Unrecognized"/>
    <n v="8"/>
    <s v="AED"/>
    <n v="270.39999999999998"/>
    <n v="813.38"/>
    <n v="2163.19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0773"/>
    <s v="3029605144561202"/>
    <s v="1.01.00"/>
    <s v="FP Labor -Billable Cost"/>
    <s v="Labor"/>
    <s v="CO-C"/>
    <d v="2026-01-15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425087"/>
    <s v="3029618986734101"/>
    <s v="1.01.00"/>
    <s v="FP Labor -Billable Cost"/>
    <s v="Labor"/>
    <s v="CO-C"/>
    <d v="2026-01-15T00:00:00"/>
    <x v="2"/>
    <x v="1"/>
    <s v="Employee"/>
    <s v="5"/>
    <s v="ORCL EG"/>
    <s v="502416 - 3WP-EMEA Delivery Middleware - IaaS"/>
    <s v="008U"/>
    <s v="Y"/>
    <s v="Y"/>
    <s v="Unrecognized"/>
    <n v="8"/>
    <s v="AED"/>
    <n v="61.48"/>
    <n v="660.13"/>
    <n v="491.8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84771"/>
    <s v="1522775667:1"/>
    <s v="1.01.00"/>
    <s v="FP Labor -Billable Cost"/>
    <s v="Labor"/>
    <s v="CO-C"/>
    <d v="2026-01-15T00:00:00"/>
    <x v="2"/>
    <x v="5"/>
    <s v="Employee"/>
    <s v="4"/>
    <s v="ORCL IT"/>
    <s v="503896 - 6FT:EMEA OCS Tech Other Delivery"/>
    <s v="0048"/>
    <s v="Y"/>
    <s v="Y"/>
    <s v="Unrecognized"/>
    <n v="8"/>
    <s v="AED"/>
    <n v="258.14999999999998"/>
    <n v="542.25"/>
    <n v="2065.1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470551"/>
    <s v="1523117857:1"/>
    <s v="1.01.00"/>
    <s v="FP Labor -Billable Cost"/>
    <s v="Labor"/>
    <s v="CO-C"/>
    <d v="2026-01-15T00:00:00"/>
    <x v="2"/>
    <x v="3"/>
    <s v="Employee"/>
    <s v="6"/>
    <s v="ORCL IN OSSI"/>
    <s v="504506 - 94V:GSC-eStudio"/>
    <s v="09B4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3941"/>
    <s v="3029621604168081"/>
    <s v="1.01.00"/>
    <s v="FP Labor -Billable Cost"/>
    <s v="Labor"/>
    <s v="CO-C"/>
    <d v="2026-01-15T00:00:00"/>
    <x v="2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475573"/>
    <s v="3029617437335051"/>
    <s v="1.01.00"/>
    <s v="FP Labor -Billable Cost"/>
    <s v="Labor"/>
    <s v="CO-C"/>
    <d v="2026-01-15T00:00:00"/>
    <x v="2"/>
    <x v="6"/>
    <s v="Employee"/>
    <s v="7"/>
    <s v="ORCL CY"/>
    <s v="503896 - 6FT:EMEA OCS Tech Other Delivery"/>
    <s v="010K"/>
    <s v="Y"/>
    <s v="Y"/>
    <s v="Unrecognized"/>
    <n v="8"/>
    <s v="AED"/>
    <n v="270.42"/>
    <n v="813.38"/>
    <n v="2163.3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78846"/>
    <s v="3029631742265801"/>
    <s v="1.01.00"/>
    <s v="FP Labor -Billable Cost"/>
    <s v="Labor"/>
    <s v="CO-C"/>
    <d v="2026-01-16T00:00:00"/>
    <x v="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49358"/>
    <s v="1524064842:1"/>
    <s v="1.01.00"/>
    <s v="FP Labor -Billable Cost"/>
    <s v="Labor"/>
    <s v="CO-C"/>
    <d v="2026-01-16T00:00:00"/>
    <x v="2"/>
    <x v="5"/>
    <s v="Employee"/>
    <s v="4"/>
    <s v="ORCL IT"/>
    <s v="503896 - 6FT:EMEA OCS Tech Other Delivery"/>
    <s v="0048"/>
    <s v="Y"/>
    <s v="Y"/>
    <s v="Unrecognized"/>
    <n v="8"/>
    <s v="AED"/>
    <n v="257.24"/>
    <n v="542.25"/>
    <n v="2057.9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40112"/>
    <s v="1523117858:1"/>
    <s v="1.01.00"/>
    <s v="FP Labor -Billable Cost"/>
    <s v="Labor"/>
    <s v="CO-C"/>
    <d v="2026-01-16T00:00:00"/>
    <x v="2"/>
    <x v="3"/>
    <s v="Employee"/>
    <s v="6"/>
    <s v="ORCL IN OSSI"/>
    <s v="504506 - 94V:GSC-eStudio"/>
    <s v="09B4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621138"/>
    <s v="1523987638:1"/>
    <s v="1.01.00"/>
    <s v="FP Labor -Billable Cost"/>
    <s v="Labor"/>
    <s v="CO-C"/>
    <d v="2026-01-16T00:00:00"/>
    <x v="2"/>
    <x v="4"/>
    <s v="Employee"/>
    <s v="6"/>
    <s v="ORCL PT"/>
    <s v="503896 - 6FT:EMEA OCS Tech Other Delivery"/>
    <s v="0057"/>
    <s v="Y"/>
    <s v="Y"/>
    <s v="Unrecognized"/>
    <n v="4"/>
    <s v="AED"/>
    <n v="303.64999999999998"/>
    <n v="754.44"/>
    <n v="1214.5999999999999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03430"/>
    <s v="3029617437335071"/>
    <s v="1.01.00"/>
    <s v="FP Labor -Billable Cost"/>
    <s v="Labor"/>
    <s v="CO-C"/>
    <d v="2026-01-16T00:00:00"/>
    <x v="2"/>
    <x v="6"/>
    <s v="Employee"/>
    <s v="7"/>
    <s v="ORCL CY"/>
    <s v="503896 - 6FT:EMEA OCS Tech Other Delivery"/>
    <s v="010K"/>
    <s v="Y"/>
    <s v="Y"/>
    <s v="Unrecognized"/>
    <n v="8"/>
    <s v="AED"/>
    <n v="269.47000000000003"/>
    <n v="813.38"/>
    <n v="2155.76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3823"/>
    <s v="3029620306189551"/>
    <s v="1.01.00"/>
    <s v="FP Labor -Billable Cost"/>
    <s v="Labor"/>
    <s v="CO-C"/>
    <d v="2026-01-18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94790"/>
    <s v="1524388743:1"/>
    <s v="1.01.00"/>
    <s v="FP Labor -Billable Cost"/>
    <s v="Labor"/>
    <s v="CO-C"/>
    <d v="2026-01-19T00:00:00"/>
    <x v="3"/>
    <x v="5"/>
    <s v="Employee"/>
    <s v="4"/>
    <s v="ORCL IT"/>
    <s v="503896 - 6FT:EMEA OCS Tech Other Delivery"/>
    <s v="0048"/>
    <s v="Y"/>
    <s v="Y"/>
    <s v="Unrecognized"/>
    <n v="8"/>
    <s v="AED"/>
    <n v="257.10000000000002"/>
    <n v="542.25"/>
    <n v="2056.760000000000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36140"/>
    <s v="1524660148:1"/>
    <s v="1.01.00"/>
    <s v="FP Labor -Billable Cost"/>
    <s v="Labor"/>
    <s v="CO-C"/>
    <d v="2026-01-19T00:00:00"/>
    <x v="3"/>
    <x v="7"/>
    <s v="Employee"/>
    <s v="7"/>
    <s v="ORCL GR"/>
    <s v="509495 - 74M: EMEA Integration - PaaS"/>
    <s v="0063"/>
    <s v="Y"/>
    <s v="Y"/>
    <s v="Unrecognized"/>
    <n v="8"/>
    <s v="AED"/>
    <n v="247.38"/>
    <n v="813.38"/>
    <n v="1979.07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0145"/>
    <s v="1523117893:1"/>
    <s v="1.01.00"/>
    <s v="FP Labor -Billable Cost"/>
    <s v="Labor"/>
    <s v="CO-C"/>
    <d v="2026-01-19T00:00:00"/>
    <x v="3"/>
    <x v="3"/>
    <s v="Employee"/>
    <s v="6"/>
    <s v="ORCL IN OSSI"/>
    <s v="504506 - 94V:GSC-eStudio"/>
    <s v="09B4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89288"/>
    <s v="1523150874:1"/>
    <s v="1.01.00"/>
    <s v="FP Labor -Billable Cost"/>
    <s v="Labor"/>
    <s v="CO-C"/>
    <d v="2026-01-19T00:00:00"/>
    <x v="3"/>
    <x v="4"/>
    <s v="Employee"/>
    <s v="6"/>
    <s v="ORCL PT"/>
    <s v="503896 - 6FT:EMEA OCS Tech Other Delivery"/>
    <s v="0057"/>
    <s v="Y"/>
    <s v="Y"/>
    <s v="Unrecognized"/>
    <n v="8"/>
    <s v="AED"/>
    <n v="303.48"/>
    <n v="754.44"/>
    <n v="2427.8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3822"/>
    <s v="3029620306189571"/>
    <s v="1.01.00"/>
    <s v="FP Labor -Billable Cost"/>
    <s v="Labor"/>
    <s v="CO-C"/>
    <d v="2026-01-19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0861"/>
    <s v="3029605145158302"/>
    <s v="1.01.00"/>
    <s v="FP Labor -Billable Cost"/>
    <s v="Labor"/>
    <s v="CO-C"/>
    <d v="2026-01-20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7843"/>
    <s v="3029618998017561"/>
    <s v="1.01.00"/>
    <s v="FP Labor -Billable Cost"/>
    <s v="Labor"/>
    <s v="CO-C"/>
    <d v="2026-01-20T00:00:00"/>
    <x v="3"/>
    <x v="1"/>
    <s v="Employee"/>
    <s v="5"/>
    <s v="ORCL EG"/>
    <s v="502416 - 3WP-EMEA Delivery Middleware - IaaS"/>
    <s v="008U"/>
    <s v="Y"/>
    <s v="Y"/>
    <s v="Unrecognized"/>
    <n v="8"/>
    <s v="AED"/>
    <n v="61.52"/>
    <n v="660.13"/>
    <n v="492.1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56770"/>
    <s v="1522775692:1"/>
    <s v="1.01.00"/>
    <s v="FP Labor -Billable Cost"/>
    <s v="Labor"/>
    <s v="CO-C"/>
    <d v="2026-01-20T00:00:00"/>
    <x v="3"/>
    <x v="5"/>
    <s v="Employee"/>
    <s v="4"/>
    <s v="ORCL IT"/>
    <s v="503896 - 6FT:EMEA OCS Tech Other Delivery"/>
    <s v="0048"/>
    <s v="Y"/>
    <s v="Y"/>
    <s v="Unrecognized"/>
    <n v="8"/>
    <s v="AED"/>
    <n v="257.10000000000002"/>
    <n v="542.25"/>
    <n v="2056.760000000000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3008"/>
    <s v="1523117894:1"/>
    <s v="1.01.00"/>
    <s v="FP Labor -Billable Cost"/>
    <s v="Labor"/>
    <s v="CO-C"/>
    <d v="2026-01-20T00:00:00"/>
    <x v="3"/>
    <x v="3"/>
    <s v="Employee"/>
    <s v="6"/>
    <s v="ORCL IN OSSI"/>
    <s v="504506 - 94V:GSC-eStudio"/>
    <s v="09B4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7856"/>
    <s v="3029620306189591"/>
    <s v="1.01.00"/>
    <s v="FP Labor -Billable Cost"/>
    <s v="Labor"/>
    <s v="CO-C"/>
    <d v="2026-01-20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0859"/>
    <s v="3029605145158322"/>
    <s v="1.01.00"/>
    <s v="FP Labor -Billable Cost"/>
    <s v="Labor"/>
    <s v="CO-C"/>
    <d v="2026-01-21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26997"/>
    <s v="3029618998017581"/>
    <s v="1.01.00"/>
    <s v="FP Labor -Billable Cost"/>
    <s v="Labor"/>
    <s v="CO-C"/>
    <d v="2026-01-21T00:00:00"/>
    <x v="3"/>
    <x v="1"/>
    <s v="Employee"/>
    <s v="5"/>
    <s v="ORCL EG"/>
    <s v="502416 - 3WP-EMEA Delivery Middleware - IaaS"/>
    <s v="008U"/>
    <s v="Y"/>
    <s v="Y"/>
    <s v="Unrecognized"/>
    <n v="8"/>
    <s v="AED"/>
    <n v="61.26"/>
    <n v="660.13"/>
    <n v="490.0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26879"/>
    <s v="1522775693:1"/>
    <s v="1.01.00"/>
    <s v="FP Labor -Billable Cost"/>
    <s v="Labor"/>
    <s v="CO-C"/>
    <d v="2026-01-21T00:00:00"/>
    <x v="3"/>
    <x v="5"/>
    <s v="Employee"/>
    <s v="4"/>
    <s v="ORCL IT"/>
    <s v="503896 - 6FT:EMEA OCS Tech Other Delivery"/>
    <s v="0048"/>
    <s v="Y"/>
    <s v="Y"/>
    <s v="Unrecognized"/>
    <n v="8"/>
    <s v="AED"/>
    <n v="259.99"/>
    <n v="542.25"/>
    <n v="2079.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30654"/>
    <s v="1523117895:1"/>
    <s v="1.01.00"/>
    <s v="FP Labor -Billable Cost"/>
    <s v="Labor"/>
    <s v="CO-C"/>
    <d v="2026-01-21T00:00:00"/>
    <x v="3"/>
    <x v="3"/>
    <s v="Employee"/>
    <s v="6"/>
    <s v="ORCL IN OSSI"/>
    <s v="504506 - 94V:GSC-eStudio"/>
    <s v="09B4"/>
    <s v="Y"/>
    <s v="Y"/>
    <s v="Unrecognized"/>
    <n v="8"/>
    <s v="AED"/>
    <n v="113.4"/>
    <n v="754.44"/>
    <n v="907.2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226031"/>
    <s v="1524765995:1"/>
    <s v="1.01.00"/>
    <s v="FP Labor -Billable Cost"/>
    <s v="Labor"/>
    <s v="CO-C"/>
    <d v="2026-01-21T00:00:00"/>
    <x v="3"/>
    <x v="4"/>
    <s v="Employee"/>
    <s v="6"/>
    <s v="ORCL PT"/>
    <s v="503896 - 6FT:EMEA OCS Tech Other Delivery"/>
    <s v="0057"/>
    <s v="Y"/>
    <s v="Y"/>
    <s v="Unrecognized"/>
    <n v="8"/>
    <s v="AED"/>
    <n v="306.89999999999998"/>
    <n v="754.44"/>
    <n v="2455.1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27205"/>
    <s v="3029620306189611"/>
    <s v="1.01.00"/>
    <s v="FP Labor -Billable Cost"/>
    <s v="Labor"/>
    <s v="CO-C"/>
    <d v="2026-01-21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26862"/>
    <s v="3029619028598451"/>
    <s v="1.01.00"/>
    <s v="FP Labor -Billable Cost"/>
    <s v="Labor"/>
    <s v="CO-C"/>
    <d v="2026-01-21T00:00:00"/>
    <x v="3"/>
    <x v="6"/>
    <s v="Employee"/>
    <s v="7"/>
    <s v="ORCL CY"/>
    <s v="503896 - 6FT:EMEA OCS Tech Other Delivery"/>
    <s v="010K"/>
    <s v="Y"/>
    <s v="Y"/>
    <s v="Unrecognized"/>
    <n v="8"/>
    <s v="AED"/>
    <n v="272.35000000000002"/>
    <n v="813.38"/>
    <n v="2178.80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0820"/>
    <s v="3029605145158342"/>
    <s v="1.01.00"/>
    <s v="FP Labor -Billable Cost"/>
    <s v="Labor"/>
    <s v="CO-C"/>
    <d v="2026-01-22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3135"/>
    <s v="3029618998017601"/>
    <s v="1.01.00"/>
    <s v="FP Labor -Billable Cost"/>
    <s v="Labor"/>
    <s v="CO-C"/>
    <d v="2026-01-22T00:00:00"/>
    <x v="3"/>
    <x v="1"/>
    <s v="Employee"/>
    <s v="5"/>
    <s v="ORCL EG"/>
    <s v="502416 - 3WP-EMEA Delivery Middleware - IaaS"/>
    <s v="008U"/>
    <s v="Y"/>
    <s v="Y"/>
    <s v="Unrecognized"/>
    <n v="8"/>
    <s v="AED"/>
    <n v="61.39"/>
    <n v="660.13"/>
    <n v="491.1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4665"/>
    <s v="1522775694:1"/>
    <s v="1.01.00"/>
    <s v="FP Labor -Billable Cost"/>
    <s v="Labor"/>
    <s v="CO-C"/>
    <d v="2026-01-22T00:00:00"/>
    <x v="3"/>
    <x v="5"/>
    <s v="Employee"/>
    <s v="4"/>
    <s v="ORCL IT"/>
    <s v="503896 - 6FT:EMEA OCS Tech Other Delivery"/>
    <s v="0048"/>
    <s v="Y"/>
    <s v="Y"/>
    <s v="Unrecognized"/>
    <n v="8"/>
    <s v="AED"/>
    <n v="259.06"/>
    <n v="542.25"/>
    <n v="2072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86738"/>
    <s v="1523117896:1"/>
    <s v="1.01.00"/>
    <s v="FP Labor -Billable Cost"/>
    <s v="Labor"/>
    <s v="CO-C"/>
    <d v="2026-01-22T00:00:00"/>
    <x v="3"/>
    <x v="3"/>
    <s v="Employee"/>
    <s v="6"/>
    <s v="ORCL IN OSSI"/>
    <s v="504506 - 94V:GSC-eStudio"/>
    <s v="09B4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3149"/>
    <s v="3029621604426411"/>
    <s v="1.01.00"/>
    <s v="FP Labor -Billable Cost"/>
    <s v="Labor"/>
    <s v="CO-C"/>
    <d v="2026-01-22T00:00:00"/>
    <x v="3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4560"/>
    <s v="3029619028598471"/>
    <s v="1.01.00"/>
    <s v="FP Labor -Billable Cost"/>
    <s v="Labor"/>
    <s v="CO-C"/>
    <d v="2026-01-22T00:00:00"/>
    <x v="3"/>
    <x v="6"/>
    <s v="Employee"/>
    <s v="7"/>
    <s v="ORCL CY"/>
    <s v="503896 - 6FT:EMEA OCS Tech Other Delivery"/>
    <s v="010K"/>
    <s v="Y"/>
    <s v="Y"/>
    <s v="Unrecognized"/>
    <n v="8"/>
    <s v="AED"/>
    <n v="271.38"/>
    <n v="813.38"/>
    <n v="217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78881"/>
    <s v="3029631742376981"/>
    <s v="1.01.00"/>
    <s v="FP Labor -Billable Cost"/>
    <s v="Labor"/>
    <s v="CO-C"/>
    <d v="2026-01-23T00:00:00"/>
    <x v="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3462"/>
    <s v="1523117897:1"/>
    <s v="1.01.00"/>
    <s v="FP Labor -Billable Cost"/>
    <s v="Labor"/>
    <s v="CO-C"/>
    <d v="2026-01-23T00:00:00"/>
    <x v="3"/>
    <x v="3"/>
    <s v="Employee"/>
    <s v="6"/>
    <s v="ORCL IN OSSI"/>
    <s v="504506 - 94V:GSC-eStudio"/>
    <s v="09B4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24504"/>
    <s v="3029619028598491"/>
    <s v="1.01.00"/>
    <s v="FP Labor -Billable Cost"/>
    <s v="Labor"/>
    <s v="CO-C"/>
    <d v="2026-01-23T00:00:00"/>
    <x v="3"/>
    <x v="6"/>
    <s v="Employee"/>
    <s v="7"/>
    <s v="ORCL CY"/>
    <s v="503896 - 6FT:EMEA OCS Tech Other Delivery"/>
    <s v="010K"/>
    <s v="Y"/>
    <s v="Y"/>
    <s v="Unrecognized"/>
    <n v="8"/>
    <s v="AED"/>
    <n v="272.97000000000003"/>
    <n v="813.38"/>
    <n v="2183.71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50430"/>
    <s v="3029620305577721"/>
    <s v="1.01.00"/>
    <s v="FP Labor -Billable Cost"/>
    <s v="Labor"/>
    <s v="CO-C"/>
    <d v="2026-01-25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05250"/>
    <s v="3029605145103072"/>
    <s v="1.01.00"/>
    <s v="FP Labor -Billable Cost"/>
    <s v="Labor"/>
    <s v="CO-C"/>
    <d v="2026-01-26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94641"/>
    <s v="3029618996626441"/>
    <s v="1.01.00"/>
    <s v="FP Labor -Billable Cost"/>
    <s v="Labor"/>
    <s v="CO-C"/>
    <d v="2026-01-26T00:00:00"/>
    <x v="4"/>
    <x v="1"/>
    <s v="Employee"/>
    <s v="5"/>
    <s v="ORCL EG"/>
    <s v="502416 - 3WP-EMEA Delivery Middleware - IaaS"/>
    <s v="008U"/>
    <s v="Y"/>
    <s v="Y"/>
    <s v="Unrecognized"/>
    <n v="8"/>
    <s v="AED"/>
    <n v="61.69"/>
    <n v="660.13"/>
    <n v="493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624487"/>
    <s v="1525358571:1"/>
    <s v="1.01.00"/>
    <s v="FP Labor -Billable Cost"/>
    <s v="Labor"/>
    <s v="CO-C"/>
    <d v="2026-01-26T00:00:00"/>
    <x v="4"/>
    <x v="5"/>
    <s v="Employee"/>
    <s v="4"/>
    <s v="ORCL IT"/>
    <s v="503896 - 6FT:EMEA OCS Tech Other Delivery"/>
    <s v="0048"/>
    <s v="Y"/>
    <s v="Y"/>
    <s v="Unrecognized"/>
    <n v="8"/>
    <s v="AED"/>
    <n v="262.18"/>
    <n v="542.25"/>
    <n v="2097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624411"/>
    <s v="1525324028:1"/>
    <s v="1.01.00"/>
    <s v="FP Labor -Billable Cost"/>
    <s v="Labor"/>
    <s v="CO-C"/>
    <d v="2026-01-26T00:00:00"/>
    <x v="4"/>
    <x v="7"/>
    <s v="Employee"/>
    <s v="7"/>
    <s v="ORCL GR"/>
    <s v="509495 - 74M: EMEA Integration - PaaS"/>
    <s v="0063"/>
    <s v="Y"/>
    <s v="Y"/>
    <s v="Unrecognized"/>
    <n v="8"/>
    <s v="AED"/>
    <n v="252.28"/>
    <n v="813.38"/>
    <n v="2018.2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61561"/>
    <s v="1523117910:1"/>
    <s v="1.01.00"/>
    <s v="FP Labor -Billable Cost"/>
    <s v="Labor"/>
    <s v="CO-C"/>
    <d v="2026-01-26T00:00:00"/>
    <x v="4"/>
    <x v="3"/>
    <s v="Employee"/>
    <s v="6"/>
    <s v="ORCL IN OSSI"/>
    <s v="504506 - 94V:GSC-eStudio"/>
    <s v="09B4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89227"/>
    <s v="1523150889:1"/>
    <s v="1.01.00"/>
    <s v="FP Labor -Billable Cost"/>
    <s v="Labor"/>
    <s v="CO-C"/>
    <d v="2026-01-26T00:00:00"/>
    <x v="4"/>
    <x v="4"/>
    <s v="Employee"/>
    <s v="6"/>
    <s v="ORCL PT"/>
    <s v="503896 - 6FT:EMEA OCS Tech Other Delivery"/>
    <s v="0057"/>
    <s v="Y"/>
    <s v="Y"/>
    <s v="Unrecognized"/>
    <n v="8"/>
    <s v="AED"/>
    <n v="309.49"/>
    <n v="754.44"/>
    <n v="2475.8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94662"/>
    <s v="3029620305577741"/>
    <s v="1.01.00"/>
    <s v="FP Labor -Billable Cost"/>
    <s v="Labor"/>
    <s v="CO-C"/>
    <d v="2026-01-26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70822"/>
    <s v="3029618996626461"/>
    <s v="1.01.00"/>
    <s v="FP Labor -Billable Cost"/>
    <s v="Labor"/>
    <s v="CO-C"/>
    <d v="2026-01-27T00:00:00"/>
    <x v="4"/>
    <x v="1"/>
    <s v="Employee"/>
    <s v="5"/>
    <s v="ORCL EG"/>
    <s v="502416 - 3WP-EMEA Delivery Middleware - IaaS"/>
    <s v="008U"/>
    <s v="Y"/>
    <s v="Y"/>
    <s v="Unrecognized"/>
    <n v="8"/>
    <s v="AED"/>
    <n v="61.69"/>
    <n v="660.13"/>
    <n v="493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92765"/>
    <s v="1522775730:1"/>
    <s v="1.01.00"/>
    <s v="FP Labor -Billable Cost"/>
    <s v="Labor"/>
    <s v="CO-C"/>
    <d v="2026-01-27T00:00:00"/>
    <x v="4"/>
    <x v="5"/>
    <s v="Employee"/>
    <s v="4"/>
    <s v="ORCL IT"/>
    <s v="503896 - 6FT:EMEA OCS Tech Other Delivery"/>
    <s v="0048"/>
    <s v="Y"/>
    <s v="Y"/>
    <s v="Unrecognized"/>
    <n v="8"/>
    <s v="AED"/>
    <n v="262.18"/>
    <n v="542.25"/>
    <n v="2097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6777"/>
    <s v="1523117911:1"/>
    <s v="1.01.00"/>
    <s v="FP Labor -Billable Cost"/>
    <s v="Labor"/>
    <s v="CO-C"/>
    <d v="2026-01-27T00:00:00"/>
    <x v="4"/>
    <x v="3"/>
    <s v="Employee"/>
    <s v="6"/>
    <s v="ORCL IN OSSI"/>
    <s v="504506 - 94V:GSC-eStudio"/>
    <s v="09B4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70775"/>
    <s v="3029620305577761"/>
    <s v="1.01.00"/>
    <s v="FP Labor -Billable Cost"/>
    <s v="Labor"/>
    <s v="CO-C"/>
    <d v="2026-01-27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07374"/>
    <s v="3029605145103112"/>
    <s v="1.01.00"/>
    <s v="FP Labor -Billable Cost"/>
    <s v="Labor"/>
    <s v="CO-C"/>
    <d v="2026-01-28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7220"/>
    <s v="3029618996626481"/>
    <s v="1.01.00"/>
    <s v="FP Labor -Billable Cost"/>
    <s v="Labor"/>
    <s v="CO-C"/>
    <d v="2026-01-28T00:00:00"/>
    <x v="4"/>
    <x v="1"/>
    <s v="Employee"/>
    <s v="5"/>
    <s v="ORCL EG"/>
    <s v="502416 - 3WP-EMEA Delivery Middleware - IaaS"/>
    <s v="008U"/>
    <s v="Y"/>
    <s v="Y"/>
    <s v="Unrecognized"/>
    <n v="8"/>
    <s v="AED"/>
    <n v="61.83"/>
    <n v="660.13"/>
    <n v="494.6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7285"/>
    <s v="1522775731:1"/>
    <s v="1.01.00"/>
    <s v="FP Labor -Billable Cost"/>
    <s v="Labor"/>
    <s v="CO-C"/>
    <d v="2026-01-28T00:00:00"/>
    <x v="4"/>
    <x v="5"/>
    <s v="Employee"/>
    <s v="4"/>
    <s v="ORCL IT"/>
    <s v="503896 - 6FT:EMEA OCS Tech Other Delivery"/>
    <s v="0048"/>
    <s v="Y"/>
    <s v="Y"/>
    <s v="Unrecognized"/>
    <n v="8"/>
    <s v="AED"/>
    <n v="266.31"/>
    <n v="542.25"/>
    <n v="2130.449999999999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480"/>
    <s v="1523117912:1"/>
    <s v="1.01.00"/>
    <s v="FP Labor -Billable Cost"/>
    <s v="Labor"/>
    <s v="CO-C"/>
    <d v="2026-01-28T00:00:00"/>
    <x v="4"/>
    <x v="3"/>
    <s v="Employee"/>
    <s v="6"/>
    <s v="ORCL IN OSSI"/>
    <s v="504506 - 94V:GSC-eStudio"/>
    <s v="09B4"/>
    <s v="Y"/>
    <s v="Y"/>
    <s v="Unrecognized"/>
    <n v="8"/>
    <s v="AED"/>
    <n v="112.48"/>
    <n v="754.44"/>
    <n v="899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7097"/>
    <s v="3029620305577781"/>
    <s v="1.01.00"/>
    <s v="FP Labor -Billable Cost"/>
    <s v="Labor"/>
    <s v="CO-C"/>
    <d v="2026-01-28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6"/>
    <n v="754.44"/>
    <n v="550.8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5121"/>
    <s v="3029619027504831"/>
    <s v="1.01.00"/>
    <s v="FP Labor -Billable Cost"/>
    <s v="Labor"/>
    <s v="CO-C"/>
    <d v="2026-01-28T00:00:00"/>
    <x v="4"/>
    <x v="6"/>
    <s v="Employee"/>
    <s v="7"/>
    <s v="ORCL CY"/>
    <s v="503896 - 6FT:EMEA OCS Tech Other Delivery"/>
    <s v="010K"/>
    <s v="Y"/>
    <s v="Y"/>
    <s v="Unrecognized"/>
    <n v="8"/>
    <s v="AED"/>
    <n v="278.97000000000003"/>
    <n v="813.38"/>
    <n v="2231.73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99684"/>
    <s v="3029605145103132"/>
    <s v="1.01.00"/>
    <s v="FP Labor -Billable Cost"/>
    <s v="Labor"/>
    <s v="CO-C"/>
    <d v="2026-01-29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68369"/>
    <s v="3029618996626501"/>
    <s v="1.01.00"/>
    <s v="FP Labor -Billable Cost"/>
    <s v="Labor"/>
    <s v="CO-C"/>
    <d v="2026-01-29T00:00:00"/>
    <x v="4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600207"/>
    <s v="1522775732:1"/>
    <s v="1.01.00"/>
    <s v="FP Labor -Billable Cost"/>
    <s v="Labor"/>
    <s v="CO-C"/>
    <d v="2026-01-29T00:00:00"/>
    <x v="4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2874"/>
    <s v="1523117913:1"/>
    <s v="1.01.00"/>
    <s v="FP Labor -Billable Cost"/>
    <s v="Labor"/>
    <s v="CO-C"/>
    <d v="2026-01-29T00:00:00"/>
    <x v="4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68503"/>
    <s v="3029621605440051"/>
    <s v="1.01.00"/>
    <s v="FP Labor -Billable Cost"/>
    <s v="Labor"/>
    <s v="CO-C"/>
    <d v="2026-01-29T00:00:00"/>
    <x v="4"/>
    <x v="2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80468"/>
    <s v="3029619027504851"/>
    <s v="1.01.00"/>
    <s v="FP Labor -Billable Cost"/>
    <s v="Labor"/>
    <s v="CO-C"/>
    <d v="2026-01-29T00:00:00"/>
    <x v="4"/>
    <x v="6"/>
    <s v="Employee"/>
    <s v="7"/>
    <s v="ORCL CY"/>
    <s v="503896 - 6FT:EMEA OCS Tech Other Delivery"/>
    <s v="010K"/>
    <s v="Y"/>
    <s v="Y"/>
    <s v="Unrecognized"/>
    <n v="8"/>
    <s v="AED"/>
    <n v="277.64"/>
    <n v="813.38"/>
    <n v="2221.0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78873"/>
    <s v="3029631742318001"/>
    <s v="1.01.00"/>
    <s v="FP Labor -Billable Cost"/>
    <s v="Labor"/>
    <s v="CO-C"/>
    <d v="2026-01-30T00:00:00"/>
    <x v="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698100"/>
    <s v="1525358570:1"/>
    <s v="1.01.00"/>
    <s v="FP Labor -Billable Cost"/>
    <s v="Labor"/>
    <s v="CO-C"/>
    <d v="2026-01-30T00:00:00"/>
    <x v="4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2097"/>
    <s v="1523117914:1"/>
    <s v="1.01.00"/>
    <s v="FP Labor -Billable Cost"/>
    <s v="Labor"/>
    <s v="CO-C"/>
    <d v="2026-01-30T00:00:00"/>
    <x v="4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677695"/>
    <s v="3029619027504871"/>
    <s v="1.01.00"/>
    <s v="FP Labor -Billable Cost"/>
    <s v="Labor"/>
    <s v="CO-C"/>
    <d v="2026-01-30T00:00:00"/>
    <x v="4"/>
    <x v="6"/>
    <s v="Employee"/>
    <s v="7"/>
    <s v="ORCL CY"/>
    <s v="503896 - 6FT:EMEA OCS Tech Other Delivery"/>
    <s v="010K"/>
    <s v="Y"/>
    <s v="Y"/>
    <s v="Unrecognized"/>
    <n v="8"/>
    <s v="AED"/>
    <n v="277.64"/>
    <n v="813.38"/>
    <n v="2221.0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964"/>
    <s v="3029627192760741"/>
    <s v="1.01.00"/>
    <s v="FP Labor -Billable Cost"/>
    <s v="Labor"/>
    <s v="CO-C"/>
    <d v="2026-02-01T00:00:00"/>
    <x v="5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799"/>
    <s v="3029620306831391"/>
    <s v="1.01.00"/>
    <s v="FP Labor -Billable Cost"/>
    <s v="Labor"/>
    <s v="CO-C"/>
    <d v="2026-02-01T00:00:00"/>
    <x v="5"/>
    <x v="2"/>
    <s v="Billable Contractor"/>
    <m/>
    <s v="ORCL EG"/>
    <s v="509485 - 73M: EMEA Business Analytics - PaaS"/>
    <s v="008U"/>
    <s v="Y"/>
    <s v="Y"/>
    <s v="Unrecognized"/>
    <n v="8"/>
    <s v="AED"/>
    <n v="60.27"/>
    <n v="754.44"/>
    <n v="482.1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24020"/>
    <s v="3029628974567131"/>
    <s v="1.01.00"/>
    <s v="FP Labor -Billable Cost"/>
    <s v="Labor"/>
    <s v="CO-C"/>
    <d v="2026-02-02T00:00:00"/>
    <x v="5"/>
    <x v="8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963"/>
    <s v="3029619019504111"/>
    <s v="1.01.00"/>
    <s v="FP Labor -Billable Cost"/>
    <s v="Labor"/>
    <s v="CO-C"/>
    <d v="2026-02-02T00:00:00"/>
    <x v="5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45833"/>
    <s v="1525841595:1"/>
    <s v="1.01.00"/>
    <s v="FP Labor -Billable Cost"/>
    <s v="Labor"/>
    <s v="CO-C"/>
    <d v="2026-02-02T00:00:00"/>
    <x v="5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14429"/>
    <s v="1526296183:1"/>
    <s v="1.01.00"/>
    <s v="FP Labor -Billable Cost"/>
    <s v="Labor"/>
    <s v="CO-C"/>
    <d v="2026-02-02T00:00:00"/>
    <x v="5"/>
    <x v="7"/>
    <s v="Employee"/>
    <s v="7"/>
    <s v="ORCL GR"/>
    <s v="509495 - 74M: EMEA Integration - PaaS"/>
    <s v="0063"/>
    <s v="Y"/>
    <s v="Y"/>
    <s v="Unrecognized"/>
    <n v="8"/>
    <s v="AED"/>
    <n v="255.02"/>
    <n v="813.38"/>
    <n v="2040.1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2549"/>
    <s v="1523117963:1"/>
    <s v="1.01.00"/>
    <s v="FP Labor -Billable Cost"/>
    <s v="Labor"/>
    <s v="CO-C"/>
    <d v="2026-02-02T00:00:00"/>
    <x v="5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95768"/>
    <s v="1523150959:1"/>
    <s v="1.01.00"/>
    <s v="FP Labor -Billable Cost"/>
    <s v="Labor"/>
    <s v="CO-C"/>
    <d v="2026-02-02T00:00:00"/>
    <x v="5"/>
    <x v="4"/>
    <s v="Employee"/>
    <s v="6"/>
    <s v="ORCL PT"/>
    <s v="503896 - 6FT:EMEA OCS Tech Other Delivery"/>
    <s v="0057"/>
    <s v="Y"/>
    <s v="Y"/>
    <s v="Unrecognized"/>
    <n v="8"/>
    <s v="AED"/>
    <n v="312.85000000000002"/>
    <n v="754.44"/>
    <n v="2502.8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798"/>
    <s v="3029620306831411"/>
    <s v="1.01.00"/>
    <s v="FP Labor -Billable Cost"/>
    <s v="Labor"/>
    <s v="CO-C"/>
    <d v="2026-02-02T00:00:00"/>
    <x v="5"/>
    <x v="2"/>
    <s v="Billable Contractor"/>
    <m/>
    <s v="ORCL EG"/>
    <s v="509485 - 73M: EMEA Business Analytics - PaaS"/>
    <s v="008U"/>
    <s v="Y"/>
    <s v="Y"/>
    <s v="Unrecognized"/>
    <n v="8"/>
    <s v="AED"/>
    <n v="60.27"/>
    <n v="754.44"/>
    <n v="482.1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80006"/>
    <s v="3029605145144232"/>
    <s v="1.01.00"/>
    <s v="FP Labor -Billable Cost"/>
    <s v="Labor"/>
    <s v="CO-C"/>
    <d v="2026-02-03T00:00:00"/>
    <x v="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24019"/>
    <s v="3029628974567151"/>
    <s v="1.01.00"/>
    <s v="FP Labor -Billable Cost"/>
    <s v="Labor"/>
    <s v="CO-C"/>
    <d v="2026-02-03T00:00:00"/>
    <x v="5"/>
    <x v="8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962"/>
    <s v="3029619019504131"/>
    <s v="1.01.00"/>
    <s v="FP Labor -Billable Cost"/>
    <s v="Labor"/>
    <s v="CO-C"/>
    <d v="2026-02-03T00:00:00"/>
    <x v="5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45693"/>
    <s v="1522775747:1"/>
    <s v="1.01.00"/>
    <s v="FP Labor -Billable Cost"/>
    <s v="Labor"/>
    <s v="CO-C"/>
    <d v="2026-02-03T00:00:00"/>
    <x v="5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37122"/>
    <s v="1523117964:1"/>
    <s v="1.01.00"/>
    <s v="FP Labor -Billable Cost"/>
    <s v="Labor"/>
    <s v="CO-C"/>
    <d v="2026-02-03T00:00:00"/>
    <x v="5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772"/>
    <s v="3029620306831431"/>
    <s v="1.01.00"/>
    <s v="FP Labor -Billable Cost"/>
    <s v="Labor"/>
    <s v="CO-C"/>
    <d v="2026-02-03T00:00:00"/>
    <x v="5"/>
    <x v="2"/>
    <s v="Billable Contractor"/>
    <m/>
    <s v="ORCL EG"/>
    <s v="509485 - 73M: EMEA Business Analytics - PaaS"/>
    <s v="008U"/>
    <s v="Y"/>
    <s v="Y"/>
    <s v="Unrecognized"/>
    <n v="8"/>
    <s v="AED"/>
    <n v="60.27"/>
    <n v="754.44"/>
    <n v="482.1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67250"/>
    <s v="3029605145144252"/>
    <s v="1.01.00"/>
    <s v="FP Labor -Billable Cost"/>
    <s v="Labor"/>
    <s v="CO-C"/>
    <d v="2026-02-04T00:00:00"/>
    <x v="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24018"/>
    <s v="3029628974567171"/>
    <s v="1.01.00"/>
    <s v="FP Labor -Billable Cost"/>
    <s v="Labor"/>
    <s v="CO-C"/>
    <d v="2026-02-04T00:00:00"/>
    <x v="5"/>
    <x v="8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18800"/>
    <s v="3029619019504151"/>
    <s v="1.01.00"/>
    <s v="FP Labor -Billable Cost"/>
    <s v="Labor"/>
    <s v="CO-C"/>
    <d v="2026-02-04T00:00:00"/>
    <x v="5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03079"/>
    <s v="1522775748:1"/>
    <s v="1.01.00"/>
    <s v="FP Labor -Billable Cost"/>
    <s v="Labor"/>
    <s v="CO-C"/>
    <d v="2026-02-04T00:00:00"/>
    <x v="5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2000"/>
    <s v="1523117965:1"/>
    <s v="1.01.00"/>
    <s v="FP Labor -Billable Cost"/>
    <s v="Labor"/>
    <s v="CO-C"/>
    <d v="2026-02-04T00:00:00"/>
    <x v="5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338472"/>
    <s v="1526726609:1"/>
    <s v="1.01.00"/>
    <s v="FP Labor -Billable Cost"/>
    <s v="Labor"/>
    <s v="CO-C"/>
    <d v="2026-02-04T00:00:00"/>
    <x v="5"/>
    <x v="4"/>
    <s v="Employee"/>
    <s v="6"/>
    <s v="ORCL PT"/>
    <s v="503896 - 6FT:EMEA OCS Tech Other Delivery"/>
    <s v="0057"/>
    <s v="Y"/>
    <s v="Y"/>
    <s v="Unrecognized"/>
    <n v="8"/>
    <s v="AED"/>
    <n v="312.85000000000002"/>
    <n v="754.44"/>
    <n v="2502.8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18777"/>
    <s v="3029620306831451"/>
    <s v="1.01.00"/>
    <s v="FP Labor -Billable Cost"/>
    <s v="Labor"/>
    <s v="CO-C"/>
    <d v="2026-02-04T00:00:00"/>
    <x v="5"/>
    <x v="2"/>
    <s v="Billable Contractor"/>
    <m/>
    <s v="ORCL EG"/>
    <s v="509485 - 73M: EMEA Business Analytics - PaaS"/>
    <s v="008U"/>
    <s v="Y"/>
    <s v="Y"/>
    <s v="Unrecognized"/>
    <n v="8"/>
    <s v="AED"/>
    <n v="60.27"/>
    <n v="754.44"/>
    <n v="482.1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96331"/>
    <s v="3029619027559011"/>
    <s v="1.01.00"/>
    <s v="FP Labor -Billable Cost"/>
    <s v="Labor"/>
    <s v="CO-C"/>
    <d v="2026-02-04T00:00:00"/>
    <x v="5"/>
    <x v="6"/>
    <s v="Employee"/>
    <s v="7"/>
    <s v="ORCL CY"/>
    <s v="503896 - 6FT:EMEA OCS Tech Other Delivery"/>
    <s v="010K"/>
    <s v="Y"/>
    <s v="Y"/>
    <s v="Unrecognized"/>
    <n v="8"/>
    <s v="AED"/>
    <n v="277.64"/>
    <n v="813.38"/>
    <n v="2221.0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23043"/>
    <s v="3029605145144273"/>
    <s v="1.01.00"/>
    <s v="FP Labor -Billable Cost"/>
    <s v="Labor"/>
    <s v="CO-C"/>
    <d v="2026-02-05T00:00:00"/>
    <x v="5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24017"/>
    <s v="3029628974567191"/>
    <s v="1.01.00"/>
    <s v="FP Labor -Billable Cost"/>
    <s v="Labor"/>
    <s v="CO-C"/>
    <d v="2026-02-05T00:00:00"/>
    <x v="5"/>
    <x v="8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43809"/>
    <s v="3029619019504171"/>
    <s v="1.01.00"/>
    <s v="FP Labor -Billable Cost"/>
    <s v="Labor"/>
    <s v="CO-C"/>
    <d v="2026-02-05T00:00:00"/>
    <x v="5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35281"/>
    <s v="1522775749:1"/>
    <s v="1.01.00"/>
    <s v="FP Labor -Billable Cost"/>
    <s v="Labor"/>
    <s v="CO-C"/>
    <d v="2026-02-05T00:00:00"/>
    <x v="5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63664"/>
    <s v="1523117966:1"/>
    <s v="1.01.00"/>
    <s v="FP Labor -Billable Cost"/>
    <s v="Labor"/>
    <s v="CO-C"/>
    <d v="2026-02-05T00:00:00"/>
    <x v="5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43919"/>
    <s v="3029621605620541"/>
    <s v="1.01.00"/>
    <s v="FP Labor -Billable Cost"/>
    <s v="Labor"/>
    <s v="CO-C"/>
    <d v="2026-02-05T00:00:00"/>
    <x v="5"/>
    <x v="2"/>
    <s v="Billable Contractor"/>
    <m/>
    <s v="ORCL EG"/>
    <s v="509485 - 73M: EMEA Business Analytics - PaaS"/>
    <s v="008U"/>
    <s v="Y"/>
    <s v="Y"/>
    <s v="Unrecognized"/>
    <n v="8"/>
    <s v="AED"/>
    <n v="60.27"/>
    <n v="754.44"/>
    <n v="482.1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71930"/>
    <s v="3029619027559031"/>
    <s v="1.01.00"/>
    <s v="FP Labor -Billable Cost"/>
    <s v="Labor"/>
    <s v="CO-C"/>
    <d v="2026-02-05T00:00:00"/>
    <x v="5"/>
    <x v="6"/>
    <s v="Employee"/>
    <s v="7"/>
    <s v="ORCL CY"/>
    <s v="503896 - 6FT:EMEA OCS Tech Other Delivery"/>
    <s v="010K"/>
    <s v="Y"/>
    <s v="Y"/>
    <s v="Unrecognized"/>
    <n v="8"/>
    <s v="AED"/>
    <n v="277.64"/>
    <n v="813.38"/>
    <n v="2221.0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24015"/>
    <s v="3029628974567211"/>
    <s v="1.01.00"/>
    <s v="FP Labor -Billable Cost"/>
    <s v="Labor"/>
    <s v="CO-C"/>
    <d v="2026-02-06T00:00:00"/>
    <x v="5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39508"/>
    <s v="1525841594:1"/>
    <s v="1.01.00"/>
    <s v="FP Labor -Billable Cost"/>
    <s v="Labor"/>
    <s v="CO-C"/>
    <d v="2026-02-06T00:00:00"/>
    <x v="5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7022"/>
    <s v="1523117967:1"/>
    <s v="1.01.00"/>
    <s v="FP Labor -Billable Cost"/>
    <s v="Labor"/>
    <s v="CO-C"/>
    <d v="2026-02-06T00:00:00"/>
    <x v="5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90307"/>
    <s v="3029619027559051"/>
    <s v="1.01.00"/>
    <s v="FP Labor -Billable Cost"/>
    <s v="Labor"/>
    <s v="CO-C"/>
    <d v="2026-02-06T00:00:00"/>
    <x v="5"/>
    <x v="6"/>
    <s v="Employee"/>
    <s v="7"/>
    <s v="ORCL CY"/>
    <s v="503896 - 6FT:EMEA OCS Tech Other Delivery"/>
    <s v="010K"/>
    <s v="Y"/>
    <s v="Y"/>
    <s v="Unrecognized"/>
    <n v="8"/>
    <s v="AED"/>
    <n v="277.64"/>
    <n v="813.38"/>
    <n v="2221.0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332"/>
    <s v="3029633075092361"/>
    <s v="1.01.00"/>
    <s v="FP Labor -Billable Cost"/>
    <s v="Labor"/>
    <s v="CO-C"/>
    <d v="2026-02-08T00:00:00"/>
    <x v="6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93417"/>
    <s v="3029620307253051"/>
    <s v="1.01.00"/>
    <s v="FP Labor -Billable Cost"/>
    <s v="Labor"/>
    <s v="CO-C"/>
    <d v="2026-02-08T00:00:00"/>
    <x v="6"/>
    <x v="2"/>
    <s v="Billable Contractor"/>
    <m/>
    <s v="ORCL EG"/>
    <s v="509485 - 73M: EMEA Business Analytics - PaaS"/>
    <s v="008U"/>
    <s v="Y"/>
    <s v="Y"/>
    <s v="Unrecognized"/>
    <n v="8"/>
    <s v="AED"/>
    <n v="60.27"/>
    <n v="542.25"/>
    <n v="482.1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88455"/>
    <s v="3029605145433162"/>
    <s v="1.01.00"/>
    <s v="FP Labor -Billable Cost"/>
    <s v="Labor"/>
    <s v="CO-C"/>
    <d v="2026-02-09T00:00:00"/>
    <x v="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2995"/>
    <s v="3029631341652991"/>
    <s v="1.01.00"/>
    <s v="FP Labor -Billable Cost"/>
    <s v="Labor"/>
    <s v="CO-C"/>
    <d v="2026-02-09T00:00:00"/>
    <x v="6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329"/>
    <s v="3029633075092391"/>
    <s v="1.01.00"/>
    <s v="FP Labor -Billable Cost"/>
    <s v="Labor"/>
    <s v="CO-C"/>
    <d v="2026-02-09T00:00:00"/>
    <x v="6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96323"/>
    <s v="1525841481:1"/>
    <s v="1.01.00"/>
    <s v="FP Labor -Billable Cost"/>
    <s v="Labor"/>
    <s v="CO-C"/>
    <d v="2026-02-09T00:00:00"/>
    <x v="6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93988"/>
    <s v="1527558334:1"/>
    <s v="1.01.00"/>
    <s v="FP Labor -Billable Cost"/>
    <s v="Labor"/>
    <s v="CO-C"/>
    <d v="2026-02-09T00:00:00"/>
    <x v="6"/>
    <x v="7"/>
    <s v="Employee"/>
    <s v="7"/>
    <s v="ORCL GR"/>
    <s v="509495 - 74M: EMEA Integration - PaaS"/>
    <s v="0063"/>
    <s v="Y"/>
    <s v="Y"/>
    <s v="Unrecognized"/>
    <n v="8"/>
    <s v="AED"/>
    <n v="255.02"/>
    <n v="813.38"/>
    <n v="2040.1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8719"/>
    <s v="1523117946:1"/>
    <s v="1.01.00"/>
    <s v="FP Labor -Billable Cost"/>
    <s v="Labor"/>
    <s v="CO-C"/>
    <d v="2026-02-09T00:00:00"/>
    <x v="6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846745"/>
    <s v="1523151073:2"/>
    <s v="1.01.00"/>
    <s v="FP Labor -Billable Cost"/>
    <s v="Labor"/>
    <s v="CO-C"/>
    <d v="2026-02-09T00:00:00"/>
    <x v="6"/>
    <x v="4"/>
    <s v="Employee"/>
    <s v="6"/>
    <s v="ORCL PT"/>
    <s v="503896 - 6FT:EMEA OCS Tech Other Delivery"/>
    <s v="0057"/>
    <s v="Y"/>
    <s v="Y"/>
    <s v="Unrecognized"/>
    <n v="4"/>
    <s v="AED"/>
    <n v="312.85000000000002"/>
    <n v="754.44"/>
    <n v="1251.4000000000001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78049"/>
    <s v="3029620307253071"/>
    <s v="1.01.00"/>
    <s v="FP Labor -Billable Cost"/>
    <s v="Labor"/>
    <s v="CO-C"/>
    <d v="2026-02-09T00:00:00"/>
    <x v="6"/>
    <x v="2"/>
    <s v="Billable Contractor"/>
    <m/>
    <s v="ORCL EG"/>
    <s v="509485 - 73M: EMEA Business Analytics - PaaS"/>
    <s v="008U"/>
    <s v="Y"/>
    <s v="Y"/>
    <s v="Unrecognized"/>
    <n v="8"/>
    <s v="AED"/>
    <n v="60.27"/>
    <n v="542.25"/>
    <n v="482.1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23020"/>
    <s v="3029605145433183"/>
    <s v="1.01.00"/>
    <s v="FP Labor -Billable Cost"/>
    <s v="Labor"/>
    <s v="CO-C"/>
    <d v="2026-02-10T00:00:00"/>
    <x v="6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2993"/>
    <s v="3029631341653021"/>
    <s v="1.01.00"/>
    <s v="FP Labor -Billable Cost"/>
    <s v="Labor"/>
    <s v="CO-C"/>
    <d v="2026-02-10T00:00:00"/>
    <x v="6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326"/>
    <s v="3029633075092421"/>
    <s v="1.01.00"/>
    <s v="FP Labor -Billable Cost"/>
    <s v="Labor"/>
    <s v="CO-C"/>
    <d v="2026-02-10T00:00:00"/>
    <x v="6"/>
    <x v="1"/>
    <s v="Employee"/>
    <s v="5"/>
    <s v="ORCL EG"/>
    <s v="502416 - 3WP-EMEA Delivery Middleware - IaaS"/>
    <s v="008U"/>
    <s v="Y"/>
    <s v="Y"/>
    <s v="Unrecognized"/>
    <n v="8"/>
    <s v="AED"/>
    <n v="62.06"/>
    <n v="660.13"/>
    <n v="496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8504"/>
    <s v="1522775764:1"/>
    <s v="1.01.00"/>
    <s v="FP Labor -Billable Cost"/>
    <s v="Labor"/>
    <s v="CO-C"/>
    <d v="2026-02-10T00:00:00"/>
    <x v="6"/>
    <x v="5"/>
    <s v="Employee"/>
    <s v="4"/>
    <s v="ORCL IT"/>
    <s v="503896 - 6FT:EMEA OCS Tech Other Delivery"/>
    <s v="0048"/>
    <s v="Y"/>
    <s v="Y"/>
    <s v="Unrecognized"/>
    <n v="8"/>
    <s v="AED"/>
    <n v="265.02999999999997"/>
    <n v="542.25"/>
    <n v="212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4039"/>
    <s v="1523117947:1"/>
    <s v="1.01.00"/>
    <s v="FP Labor -Billable Cost"/>
    <s v="Labor"/>
    <s v="CO-C"/>
    <d v="2026-02-10T00:00:00"/>
    <x v="6"/>
    <x v="3"/>
    <s v="Employee"/>
    <s v="6"/>
    <s v="ORCL IN OSSI"/>
    <s v="504506 - 94V:GSC-eStudio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11730"/>
    <s v="3029620307253091"/>
    <s v="1.01.00"/>
    <s v="FP Labor -Billable Cost"/>
    <s v="Labor"/>
    <s v="CO-C"/>
    <d v="2026-02-10T00:00:00"/>
    <x v="6"/>
    <x v="2"/>
    <s v="Billable Contractor"/>
    <m/>
    <s v="ORCL EG"/>
    <s v="509485 - 73M: EMEA Business Analytics - PaaS"/>
    <s v="008U"/>
    <s v="Y"/>
    <s v="Y"/>
    <s v="Unrecognized"/>
    <n v="8"/>
    <s v="AED"/>
    <n v="60.27"/>
    <n v="542.25"/>
    <n v="482.1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16729"/>
    <s v="3029605145433202"/>
    <s v="1.01.00"/>
    <s v="FP Labor -Billable Cost"/>
    <s v="Labor"/>
    <s v="CO-C"/>
    <d v="2026-02-11T00:00:00"/>
    <x v="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2992"/>
    <s v="3029631341653041"/>
    <s v="1.01.00"/>
    <s v="FP Labor -Billable Cost"/>
    <s v="Labor"/>
    <s v="CO-C"/>
    <d v="2026-02-11T00:00:00"/>
    <x v="6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324"/>
    <s v="3029633075092441"/>
    <s v="1.01.00"/>
    <s v="FP Labor -Billable Cost"/>
    <s v="Labor"/>
    <s v="CO-C"/>
    <d v="2026-02-11T00:00:00"/>
    <x v="6"/>
    <x v="1"/>
    <s v="Employee"/>
    <s v="5"/>
    <s v="ORCL EG"/>
    <s v="502416 - 3WP-EMEA Delivery Middleware - IaaS"/>
    <s v="008U"/>
    <s v="Y"/>
    <s v="Y"/>
    <s v="Unrecognized"/>
    <n v="8"/>
    <s v="AED"/>
    <n v="62.04"/>
    <n v="660.13"/>
    <n v="496.3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5790"/>
    <s v="1522775765:1"/>
    <s v="1.01.00"/>
    <s v="FP Labor -Billable Cost"/>
    <s v="Labor"/>
    <s v="CO-C"/>
    <d v="2026-02-11T00:00:00"/>
    <x v="6"/>
    <x v="5"/>
    <s v="Employee"/>
    <s v="4"/>
    <s v="ORCL IT"/>
    <s v="503896 - 6FT:EMEA OCS Tech Other Delivery"/>
    <s v="0048"/>
    <s v="Y"/>
    <s v="Y"/>
    <s v="Unrecognized"/>
    <n v="8"/>
    <s v="AED"/>
    <n v="263.70999999999998"/>
    <n v="542.25"/>
    <n v="2109.699999999999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1320"/>
    <s v="1523117948:1"/>
    <s v="1.01.00"/>
    <s v="FP Labor -Billable Cost"/>
    <s v="Labor"/>
    <s v="CO-C"/>
    <d v="2026-02-11T00:00:00"/>
    <x v="6"/>
    <x v="3"/>
    <s v="Employee"/>
    <s v="6"/>
    <s v="ORCL IN OSSI"/>
    <s v="504506 - 94V:GSC-eStudio"/>
    <s v="09B4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846797"/>
    <s v="1527543795:1"/>
    <s v="1.01.00"/>
    <s v="FP Labor -Billable Cost"/>
    <s v="Labor"/>
    <s v="CO-C"/>
    <d v="2026-02-11T00:00:00"/>
    <x v="6"/>
    <x v="4"/>
    <s v="Employee"/>
    <s v="6"/>
    <s v="ORCL PT"/>
    <s v="503896 - 6FT:EMEA OCS Tech Other Delivery"/>
    <s v="0057"/>
    <s v="Y"/>
    <s v="Y"/>
    <s v="Unrecognized"/>
    <n v="8"/>
    <s v="AED"/>
    <n v="311.29000000000002"/>
    <n v="754.44"/>
    <n v="2490.32000000000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4789"/>
    <s v="3029620307253111"/>
    <s v="1.01.00"/>
    <s v="FP Labor -Billable Cost"/>
    <s v="Labor"/>
    <s v="CO-C"/>
    <d v="2026-02-11T00:00:00"/>
    <x v="6"/>
    <x v="2"/>
    <s v="Billable Contractor"/>
    <m/>
    <s v="ORCL EG"/>
    <s v="509485 - 73M: EMEA Business Analytics - PaaS"/>
    <s v="008U"/>
    <s v="Y"/>
    <s v="Y"/>
    <s v="Unrecognized"/>
    <n v="8"/>
    <s v="AED"/>
    <n v="60.25"/>
    <n v="542.25"/>
    <n v="481.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1356"/>
    <s v="3029619024844261"/>
    <s v="1.01.00"/>
    <s v="FP Labor -Billable Cost"/>
    <s v="Labor"/>
    <s v="CO-C"/>
    <d v="2026-02-11T00:00:00"/>
    <x v="6"/>
    <x v="6"/>
    <s v="Employee"/>
    <s v="7"/>
    <s v="ORCL CY"/>
    <s v="503896 - 6FT:EMEA OCS Tech Other Delivery"/>
    <s v="010K"/>
    <s v="Y"/>
    <s v="Y"/>
    <s v="Unrecognized"/>
    <n v="8"/>
    <s v="AED"/>
    <n v="276.25"/>
    <n v="813.38"/>
    <n v="2210.01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2991"/>
    <s v="3029631341653061"/>
    <s v="1.01.00"/>
    <s v="FP Labor -Billable Cost"/>
    <s v="Labor"/>
    <s v="CO-C"/>
    <d v="2026-02-12T00:00:00"/>
    <x v="6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322"/>
    <s v="3029633075092461"/>
    <s v="1.01.00"/>
    <s v="FP Labor -Billable Cost"/>
    <s v="Labor"/>
    <s v="CO-C"/>
    <d v="2026-02-12T00:00:00"/>
    <x v="6"/>
    <x v="1"/>
    <s v="Employee"/>
    <s v="5"/>
    <s v="ORCL EG"/>
    <s v="502416 - 3WP-EMEA Delivery Middleware - IaaS"/>
    <s v="008U"/>
    <s v="Y"/>
    <s v="Y"/>
    <s v="Unrecognized"/>
    <n v="8"/>
    <s v="AED"/>
    <n v="62.07"/>
    <n v="660.13"/>
    <n v="496.5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26839"/>
    <s v="1522775766:1"/>
    <s v="1.01.00"/>
    <s v="FP Labor -Billable Cost"/>
    <s v="Labor"/>
    <s v="CO-C"/>
    <d v="2026-02-12T00:00:00"/>
    <x v="6"/>
    <x v="5"/>
    <s v="Employee"/>
    <s v="4"/>
    <s v="ORCL IT"/>
    <s v="503896 - 6FT:EMEA OCS Tech Other Delivery"/>
    <s v="0048"/>
    <s v="Y"/>
    <s v="Y"/>
    <s v="Unrecognized"/>
    <n v="8"/>
    <s v="AED"/>
    <n v="263.23"/>
    <n v="542.25"/>
    <n v="2105.800000000000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42518"/>
    <s v="1523117949:1"/>
    <s v="1.01.00"/>
    <s v="FP Labor -Billable Cost"/>
    <s v="Labor"/>
    <s v="CO-C"/>
    <d v="2026-02-12T00:00:00"/>
    <x v="6"/>
    <x v="3"/>
    <s v="Employee"/>
    <s v="6"/>
    <s v="ORCL IN OSSI"/>
    <s v="504506 - 94V:GSC-eStudio"/>
    <s v="09B4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97652"/>
    <s v="3029621605157171"/>
    <s v="1.01.00"/>
    <s v="FP Labor -Billable Cost"/>
    <s v="Labor"/>
    <s v="CO-C"/>
    <d v="2026-02-12T00:00:00"/>
    <x v="6"/>
    <x v="2"/>
    <s v="Billable Contractor"/>
    <m/>
    <s v="ORCL EG"/>
    <s v="509485 - 73M: EMEA Business Analytics - PaaS"/>
    <s v="008U"/>
    <s v="Y"/>
    <s v="Y"/>
    <s v="Unrecognized"/>
    <n v="8"/>
    <s v="AED"/>
    <n v="60.27"/>
    <n v="542.25"/>
    <n v="482.1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20025"/>
    <s v="3029619024844281"/>
    <s v="1.01.00"/>
    <s v="FP Labor -Billable Cost"/>
    <s v="Labor"/>
    <s v="CO-C"/>
    <d v="2026-02-12T00:00:00"/>
    <x v="6"/>
    <x v="6"/>
    <s v="Employee"/>
    <s v="7"/>
    <s v="ORCL CY"/>
    <s v="503896 - 6FT:EMEA OCS Tech Other Delivery"/>
    <s v="010K"/>
    <s v="Y"/>
    <s v="Y"/>
    <s v="Unrecognized"/>
    <n v="8"/>
    <s v="AED"/>
    <n v="275.74"/>
    <n v="813.38"/>
    <n v="2205.9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2990"/>
    <s v="3029631341653081"/>
    <s v="1.01.00"/>
    <s v="FP Labor -Billable Cost"/>
    <s v="Labor"/>
    <s v="CO-C"/>
    <d v="2026-02-13T00:00:00"/>
    <x v="6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62174"/>
    <s v="1525841480:1"/>
    <s v="1.01.00"/>
    <s v="FP Labor -Billable Cost"/>
    <s v="Labor"/>
    <s v="CO-C"/>
    <d v="2026-02-13T00:00:00"/>
    <x v="6"/>
    <x v="5"/>
    <s v="Employee"/>
    <s v="4"/>
    <s v="ORCL IT"/>
    <s v="503896 - 6FT:EMEA OCS Tech Other Delivery"/>
    <s v="0048"/>
    <s v="Y"/>
    <s v="Y"/>
    <s v="Unrecognized"/>
    <n v="8"/>
    <s v="AED"/>
    <n v="263.13"/>
    <n v="542.25"/>
    <n v="21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1855"/>
    <s v="1523117950:1"/>
    <s v="1.01.00"/>
    <s v="FP Labor -Billable Cost"/>
    <s v="Labor"/>
    <s v="CO-C"/>
    <d v="2026-02-13T00:00:00"/>
    <x v="6"/>
    <x v="3"/>
    <s v="Employee"/>
    <s v="6"/>
    <s v="ORCL IN OSSI"/>
    <s v="504506 - 94V:GSC-eStudio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51079"/>
    <s v="3029619024844301"/>
    <s v="1.01.00"/>
    <s v="FP Labor -Billable Cost"/>
    <s v="Labor"/>
    <s v="CO-C"/>
    <d v="2026-02-13T00:00:00"/>
    <x v="6"/>
    <x v="6"/>
    <s v="Employee"/>
    <s v="7"/>
    <s v="ORCL CY"/>
    <s v="503896 - 6FT:EMEA OCS Tech Other Delivery"/>
    <s v="010K"/>
    <s v="Y"/>
    <s v="Y"/>
    <s v="Unrecognized"/>
    <n v="8"/>
    <s v="AED"/>
    <n v="275.64"/>
    <n v="813.38"/>
    <n v="2205.0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975515"/>
    <s v="3029627224547891"/>
    <s v="1.01.00"/>
    <s v="FP Labor -Billable Cost"/>
    <s v="Labor"/>
    <s v="CO-C"/>
    <d v="2026-02-15T00:00:00"/>
    <x v="7"/>
    <x v="1"/>
    <s v="Employee"/>
    <s v="5"/>
    <s v="ORCL EG"/>
    <s v="502416 - 3WP-EMEA Delivery Middleware - IaaS"/>
    <s v="008U"/>
    <s v="Y"/>
    <s v="Y"/>
    <s v="Unrecognized"/>
    <n v="8"/>
    <s v="AED"/>
    <n v="62.1"/>
    <n v="660.13"/>
    <n v="496.7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975483"/>
    <s v="3029620306456361"/>
    <s v="1.01.00"/>
    <s v="FP Labor -Billable Cost"/>
    <s v="Labor"/>
    <s v="CO-C"/>
    <d v="2026-02-15T00:00:00"/>
    <x v="7"/>
    <x v="2"/>
    <s v="Billable Contractor"/>
    <m/>
    <s v="ORCL EG"/>
    <s v="509485 - 73M: EMEA Business Analytics - PaaS"/>
    <s v="008U"/>
    <s v="Y"/>
    <s v="Y"/>
    <s v="Unrecognized"/>
    <n v="8"/>
    <s v="AED"/>
    <n v="60.3"/>
    <n v="542.25"/>
    <n v="482.3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4863"/>
    <s v="3029605145807952"/>
    <s v="1.01.00"/>
    <s v="FP Labor -Billable Cost"/>
    <s v="Labor"/>
    <s v="CO-C"/>
    <d v="2026-02-16T00:00:00"/>
    <x v="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088"/>
    <s v="3029631345559231"/>
    <s v="1.01.00"/>
    <s v="FP Labor -Billable Cost"/>
    <s v="Labor"/>
    <s v="CO-C"/>
    <d v="2026-02-16T00:00:00"/>
    <x v="7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4002"/>
    <s v="3029627224547911"/>
    <s v="1.01.00"/>
    <s v="FP Labor -Billable Cost"/>
    <s v="Labor"/>
    <s v="CO-C"/>
    <d v="2026-02-16T00:00:00"/>
    <x v="7"/>
    <x v="1"/>
    <s v="Employee"/>
    <s v="5"/>
    <s v="ORCL EG"/>
    <s v="502416 - 3WP-EMEA Delivery Middleware - IaaS"/>
    <s v="008U"/>
    <s v="Y"/>
    <s v="Y"/>
    <s v="Unrecognized"/>
    <n v="8"/>
    <s v="AED"/>
    <n v="62.1"/>
    <n v="660.13"/>
    <n v="496.7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5704"/>
    <s v="1525841697:1"/>
    <s v="1.01.00"/>
    <s v="FP Labor -Billable Cost"/>
    <s v="Labor"/>
    <s v="CO-C"/>
    <d v="2026-02-16T00:00:00"/>
    <x v="7"/>
    <x v="5"/>
    <s v="Employee"/>
    <s v="4"/>
    <s v="ORCL IT"/>
    <s v="503896 - 6FT:EMEA OCS Tech Other Delivery"/>
    <s v="0048"/>
    <s v="Y"/>
    <s v="Y"/>
    <s v="Unrecognized"/>
    <n v="8"/>
    <s v="AED"/>
    <n v="263.13"/>
    <n v="542.25"/>
    <n v="21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997174"/>
    <s v="1523118001:1"/>
    <s v="1.01.00"/>
    <s v="FP Labor -Billable Cost"/>
    <s v="Labor"/>
    <s v="CO-C"/>
    <d v="2026-02-16T00:00:00"/>
    <x v="7"/>
    <x v="3"/>
    <s v="Employee"/>
    <s v="6"/>
    <s v="ORCL IN OSSI"/>
    <s v="504506 - 94V:GSC-eStudio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7680"/>
    <s v="1523151144:1"/>
    <s v="1.01.00"/>
    <s v="FP Labor -Billable Cost"/>
    <s v="Labor"/>
    <s v="CO-C"/>
    <d v="2026-02-16T00:00:00"/>
    <x v="7"/>
    <x v="4"/>
    <s v="Employee"/>
    <s v="6"/>
    <s v="ORCL PT"/>
    <s v="503896 - 6FT:EMEA OCS Tech Other Delivery"/>
    <s v="0057"/>
    <s v="Y"/>
    <s v="Y"/>
    <s v="Unrecognized"/>
    <n v="8"/>
    <s v="AED"/>
    <n v="310.60000000000002"/>
    <n v="754.44"/>
    <n v="2484.78000000000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4075"/>
    <s v="3029620306456381"/>
    <s v="1.01.00"/>
    <s v="FP Labor -Billable Cost"/>
    <s v="Labor"/>
    <s v="CO-C"/>
    <d v="2026-02-16T00:00:00"/>
    <x v="7"/>
    <x v="2"/>
    <s v="Billable Contractor"/>
    <m/>
    <s v="ORCL EG"/>
    <s v="509485 - 73M: EMEA Business Analytics - PaaS"/>
    <s v="008U"/>
    <s v="Y"/>
    <s v="Y"/>
    <s v="Unrecognized"/>
    <n v="8"/>
    <s v="AED"/>
    <n v="60.3"/>
    <n v="542.25"/>
    <n v="482.3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73711"/>
    <s v="3029605145807972"/>
    <s v="1.01.00"/>
    <s v="FP Labor -Billable Cost"/>
    <s v="Labor"/>
    <s v="CO-C"/>
    <d v="2026-02-17T00:00:00"/>
    <x v="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086"/>
    <s v="3029631345559261"/>
    <s v="1.01.00"/>
    <s v="FP Labor -Billable Cost"/>
    <s v="Labor"/>
    <s v="CO-C"/>
    <d v="2026-02-17T00:00:00"/>
    <x v="7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201"/>
    <s v="3029627224547931"/>
    <s v="1.01.00"/>
    <s v="FP Labor -Billable Cost"/>
    <s v="Labor"/>
    <s v="CO-C"/>
    <d v="2026-02-17T00:00:00"/>
    <x v="7"/>
    <x v="1"/>
    <s v="Employee"/>
    <s v="5"/>
    <s v="ORCL EG"/>
    <s v="502416 - 3WP-EMEA Delivery Middleware - IaaS"/>
    <s v="008U"/>
    <s v="Y"/>
    <s v="Y"/>
    <s v="Unrecognized"/>
    <n v="8"/>
    <s v="AED"/>
    <n v="62.1"/>
    <n v="660.13"/>
    <n v="496.7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2147"/>
    <s v="1522775794:1"/>
    <s v="1.01.00"/>
    <s v="FP Labor -Billable Cost"/>
    <s v="Labor"/>
    <s v="CO-C"/>
    <d v="2026-02-17T00:00:00"/>
    <x v="7"/>
    <x v="5"/>
    <s v="Employee"/>
    <s v="4"/>
    <s v="ORCL IT"/>
    <s v="503896 - 6FT:EMEA OCS Tech Other Delivery"/>
    <s v="0048"/>
    <s v="Y"/>
    <s v="Y"/>
    <s v="Unrecognized"/>
    <n v="8"/>
    <s v="AED"/>
    <n v="263.13"/>
    <n v="542.25"/>
    <n v="21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4348"/>
    <s v="1523118002:1"/>
    <s v="1.01.00"/>
    <s v="FP Labor -Billable Cost"/>
    <s v="Labor"/>
    <s v="CO-C"/>
    <d v="2026-02-17T00:00:00"/>
    <x v="7"/>
    <x v="3"/>
    <s v="Employee"/>
    <s v="6"/>
    <s v="ORCL IN OSSI"/>
    <s v="504506 - 94V:GSC-eStudio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125"/>
    <s v="3029620306456401"/>
    <s v="1.01.00"/>
    <s v="FP Labor -Billable Cost"/>
    <s v="Labor"/>
    <s v="CO-C"/>
    <d v="2026-02-17T00:00:00"/>
    <x v="7"/>
    <x v="2"/>
    <s v="Billable Contractor"/>
    <m/>
    <s v="ORCL EG"/>
    <s v="509485 - 73M: EMEA Business Analytics - PaaS"/>
    <s v="008U"/>
    <s v="Y"/>
    <s v="Y"/>
    <s v="Unrecognized"/>
    <n v="8"/>
    <s v="AED"/>
    <n v="60.3"/>
    <n v="542.25"/>
    <n v="482.3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23012"/>
    <s v="3029605145807993"/>
    <s v="1.01.00"/>
    <s v="FP Labor -Billable Cost"/>
    <s v="Labor"/>
    <s v="CO-C"/>
    <d v="2026-02-18T00:00:00"/>
    <x v="7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33767"/>
    <s v="3029631345559281"/>
    <s v="1.01.00"/>
    <s v="FP Labor -Billable Cost"/>
    <s v="Labor"/>
    <s v="CO-C"/>
    <d v="2026-02-18T00:00:00"/>
    <x v="7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33733"/>
    <s v="3029627224547951"/>
    <s v="1.01.00"/>
    <s v="FP Labor -Billable Cost"/>
    <s v="Labor"/>
    <s v="CO-C"/>
    <d v="2026-02-18T00:00:00"/>
    <x v="7"/>
    <x v="1"/>
    <s v="Employee"/>
    <s v="5"/>
    <s v="ORCL EG"/>
    <s v="502416 - 3WP-EMEA Delivery Middleware - IaaS"/>
    <s v="008U"/>
    <s v="Y"/>
    <s v="Y"/>
    <s v="Unrecognized"/>
    <n v="8"/>
    <s v="AED"/>
    <n v="61.87"/>
    <n v="660.13"/>
    <n v="494.9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34378"/>
    <s v="1522775795:1"/>
    <s v="1.01.00"/>
    <s v="FP Labor -Billable Cost"/>
    <s v="Labor"/>
    <s v="CO-C"/>
    <d v="2026-02-18T00:00:00"/>
    <x v="7"/>
    <x v="5"/>
    <s v="Employee"/>
    <s v="4"/>
    <s v="ORCL IT"/>
    <s v="503896 - 6FT:EMEA OCS Tech Other Delivery"/>
    <s v="0048"/>
    <s v="Y"/>
    <s v="Y"/>
    <s v="Unrecognized"/>
    <n v="8"/>
    <s v="AED"/>
    <n v="262.69"/>
    <n v="542.25"/>
    <n v="2101.5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2543"/>
    <s v="1523118003:1"/>
    <s v="1.01.00"/>
    <s v="FP Labor -Billable Cost"/>
    <s v="Labor"/>
    <s v="CO-C"/>
    <d v="2026-02-18T00:00:00"/>
    <x v="7"/>
    <x v="3"/>
    <s v="Employee"/>
    <s v="6"/>
    <s v="ORCL IN OSSI"/>
    <s v="504506 - 94V:GSC-eStudio"/>
    <s v="09B4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4476"/>
    <s v="1528741215:1"/>
    <s v="1.01.00"/>
    <s v="FP Labor -Billable Cost"/>
    <s v="Labor"/>
    <s v="CO-C"/>
    <d v="2026-02-18T00:00:00"/>
    <x v="7"/>
    <x v="4"/>
    <s v="Employee"/>
    <s v="6"/>
    <s v="ORCL PT"/>
    <s v="503896 - 6FT:EMEA OCS Tech Other Delivery"/>
    <s v="0057"/>
    <s v="Y"/>
    <s v="Y"/>
    <s v="Unrecognized"/>
    <n v="8"/>
    <s v="AED"/>
    <n v="310.08999999999997"/>
    <n v="754.44"/>
    <n v="2480.6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33793"/>
    <s v="3029620306456421"/>
    <s v="1.01.00"/>
    <s v="FP Labor -Billable Cost"/>
    <s v="Labor"/>
    <s v="CO-C"/>
    <d v="2026-02-18T00:00:00"/>
    <x v="7"/>
    <x v="2"/>
    <s v="Billable Contractor"/>
    <m/>
    <s v="ORCL EG"/>
    <s v="509485 - 73M: EMEA Business Analytics - PaaS"/>
    <s v="008U"/>
    <s v="Y"/>
    <s v="Y"/>
    <s v="Unrecognized"/>
    <n v="8"/>
    <s v="AED"/>
    <n v="60.08"/>
    <n v="542.25"/>
    <n v="480.6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33467"/>
    <s v="3029619027859211"/>
    <s v="1.01.00"/>
    <s v="FP Labor -Billable Cost"/>
    <s v="Labor"/>
    <s v="CO-C"/>
    <d v="2026-02-18T00:00:00"/>
    <x v="7"/>
    <x v="6"/>
    <s v="Employee"/>
    <s v="7"/>
    <s v="ORCL CY"/>
    <s v="503896 - 6FT:EMEA OCS Tech Other Delivery"/>
    <s v="010K"/>
    <s v="Y"/>
    <s v="Y"/>
    <s v="Unrecognized"/>
    <n v="8"/>
    <s v="AED"/>
    <n v="275.18"/>
    <n v="813.38"/>
    <n v="2201.4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19624"/>
    <s v="3029605145808012"/>
    <s v="1.01.00"/>
    <s v="FP Labor -Billable Cost"/>
    <s v="Labor"/>
    <s v="CO-C"/>
    <d v="2026-02-19T00:00:00"/>
    <x v="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43919"/>
    <s v="3029631345559301"/>
    <s v="1.01.00"/>
    <s v="FP Labor -Billable Cost"/>
    <s v="Labor"/>
    <s v="CO-C"/>
    <d v="2026-02-19T00:00:00"/>
    <x v="7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43985"/>
    <s v="3029627224547971"/>
    <s v="1.01.00"/>
    <s v="FP Labor -Billable Cost"/>
    <s v="Labor"/>
    <s v="CO-C"/>
    <d v="2026-02-19T00:00:00"/>
    <x v="7"/>
    <x v="1"/>
    <s v="Employee"/>
    <s v="5"/>
    <s v="ORCL EG"/>
    <s v="502416 - 3WP-EMEA Delivery Middleware - IaaS"/>
    <s v="008U"/>
    <s v="Y"/>
    <s v="Y"/>
    <s v="Unrecognized"/>
    <n v="8"/>
    <s v="AED"/>
    <n v="61.88"/>
    <n v="660.13"/>
    <n v="495.0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74768"/>
    <s v="1522775796:1"/>
    <s v="1.01.00"/>
    <s v="FP Labor -Billable Cost"/>
    <s v="Labor"/>
    <s v="CO-C"/>
    <d v="2026-02-19T00:00:00"/>
    <x v="7"/>
    <x v="5"/>
    <s v="Employee"/>
    <s v="4"/>
    <s v="ORCL IT"/>
    <s v="503896 - 6FT:EMEA OCS Tech Other Delivery"/>
    <s v="0048"/>
    <s v="Y"/>
    <s v="Y"/>
    <s v="Unrecognized"/>
    <n v="8"/>
    <s v="AED"/>
    <n v="261.35000000000002"/>
    <n v="542.25"/>
    <n v="2090.8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29498"/>
    <s v="1523118004:1"/>
    <s v="1.01.00"/>
    <s v="FP Labor -Billable Cost"/>
    <s v="Labor"/>
    <s v="CO-C"/>
    <d v="2026-02-19T00:00:00"/>
    <x v="7"/>
    <x v="3"/>
    <s v="Employee"/>
    <s v="6"/>
    <s v="ORCL IN OSSI"/>
    <s v="504506 - 94V:GSC-eStudio"/>
    <s v="09B4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44036"/>
    <s v="3029621606170411"/>
    <s v="1.01.00"/>
    <s v="FP Labor -Billable Cost"/>
    <s v="Labor"/>
    <s v="CO-C"/>
    <d v="2026-02-19T00:00:00"/>
    <x v="7"/>
    <x v="2"/>
    <s v="Billable Contractor"/>
    <m/>
    <s v="ORCL EG"/>
    <s v="509485 - 73M: EMEA Business Analytics - PaaS"/>
    <s v="008U"/>
    <s v="Y"/>
    <s v="Y"/>
    <s v="Unrecognized"/>
    <n v="8"/>
    <s v="AED"/>
    <n v="60.09"/>
    <n v="542.25"/>
    <n v="480.7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19233"/>
    <s v="3029619027859231"/>
    <s v="1.01.00"/>
    <s v="FP Labor -Billable Cost"/>
    <s v="Labor"/>
    <s v="CO-C"/>
    <d v="2026-02-19T00:00:00"/>
    <x v="7"/>
    <x v="6"/>
    <s v="Employee"/>
    <s v="7"/>
    <s v="ORCL CY"/>
    <s v="503896 - 6FT:EMEA OCS Tech Other Delivery"/>
    <s v="010K"/>
    <s v="Y"/>
    <s v="Y"/>
    <s v="Unrecognized"/>
    <n v="8"/>
    <s v="AED"/>
    <n v="273.77999999999997"/>
    <n v="813.38"/>
    <n v="2190.2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41855"/>
    <s v="3029631345559321"/>
    <s v="1.01.00"/>
    <s v="FP Labor -Billable Cost"/>
    <s v="Labor"/>
    <s v="CO-C"/>
    <d v="2026-02-20T00:00:00"/>
    <x v="7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17427"/>
    <s v="1525841696:1"/>
    <s v="1.01.00"/>
    <s v="FP Labor -Billable Cost"/>
    <s v="Labor"/>
    <s v="CO-C"/>
    <d v="2026-02-20T00:00:00"/>
    <x v="7"/>
    <x v="5"/>
    <s v="Employee"/>
    <s v="4"/>
    <s v="ORCL IT"/>
    <s v="503896 - 6FT:EMEA OCS Tech Other Delivery"/>
    <s v="0048"/>
    <s v="Y"/>
    <s v="Y"/>
    <s v="Unrecognized"/>
    <n v="8"/>
    <s v="AED"/>
    <n v="260.99"/>
    <n v="542.25"/>
    <n v="2087.8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25526"/>
    <s v="1528243187:2"/>
    <s v="1.01.00"/>
    <s v="FP Labor -Billable Cost"/>
    <s v="Labor"/>
    <s v="CO-C"/>
    <d v="2026-02-20T00:00:00"/>
    <x v="7"/>
    <x v="7"/>
    <s v="Employee"/>
    <s v="7"/>
    <s v="ORCL GR"/>
    <s v="509495 - 74M: EMEA Integration - PaaS"/>
    <s v="0063"/>
    <s v="Y"/>
    <s v="Y"/>
    <s v="Unrecognized"/>
    <n v="8"/>
    <s v="AED"/>
    <n v="251.13"/>
    <n v="813.38"/>
    <n v="2009.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8685"/>
    <s v="1523118005:1"/>
    <s v="1.01.00"/>
    <s v="FP Labor -Billable Cost"/>
    <s v="Labor"/>
    <s v="CO-C"/>
    <d v="2026-02-20T00:00:00"/>
    <x v="7"/>
    <x v="3"/>
    <s v="Employee"/>
    <s v="6"/>
    <s v="ORCL IN OSSI"/>
    <s v="504506 - 94V:GSC-eStudio"/>
    <s v="09B4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16736"/>
    <s v="3029619027859251"/>
    <s v="1.01.00"/>
    <s v="FP Labor -Billable Cost"/>
    <s v="Labor"/>
    <s v="CO-C"/>
    <d v="2026-02-20T00:00:00"/>
    <x v="7"/>
    <x v="6"/>
    <s v="Employee"/>
    <s v="7"/>
    <s v="ORCL CY"/>
    <s v="503896 - 6FT:EMEA OCS Tech Other Delivery"/>
    <s v="010K"/>
    <s v="Y"/>
    <s v="Y"/>
    <s v="Unrecognized"/>
    <n v="8"/>
    <s v="AED"/>
    <n v="273.39999999999998"/>
    <n v="813.38"/>
    <n v="2187.1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38691"/>
    <s v="3029627217200711"/>
    <s v="1.01.00"/>
    <s v="FP Labor -Billable Cost"/>
    <s v="Labor"/>
    <s v="CO-C"/>
    <d v="2026-02-22T00:00:00"/>
    <x v="8"/>
    <x v="1"/>
    <s v="Employee"/>
    <s v="5"/>
    <s v="ORCL EG"/>
    <s v="502416 - 3WP-EMEA Delivery Middleware - IaaS"/>
    <s v="008U"/>
    <s v="Y"/>
    <s v="Y"/>
    <s v="Unrecognized"/>
    <n v="8"/>
    <s v="AED"/>
    <n v="61.14"/>
    <n v="660.13"/>
    <n v="489.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429311"/>
    <s v="3029620308083681"/>
    <s v="1.01.00"/>
    <s v="FP Labor -Billable Cost"/>
    <s v="Labor"/>
    <s v="CO-C"/>
    <d v="2026-02-22T00:00:00"/>
    <x v="8"/>
    <x v="2"/>
    <s v="Billable Contractor"/>
    <m/>
    <s v="ORCL EG"/>
    <s v="509485 - 73M: EMEA Business Analytics - PaaS"/>
    <s v="008U"/>
    <s v="Y"/>
    <s v="Y"/>
    <s v="Unrecognized"/>
    <n v="8"/>
    <s v="AED"/>
    <n v="59.37"/>
    <n v="542.25"/>
    <n v="474.9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53832"/>
    <s v="3029605145603572"/>
    <s v="1.01.00"/>
    <s v="FP Labor -Billable Cost"/>
    <s v="Labor"/>
    <s v="CO-C"/>
    <d v="2026-02-23T00:00:00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09750"/>
    <s v="3029631346039831"/>
    <s v="1.01.00"/>
    <s v="FP Labor -Billable Cost"/>
    <s v="Labor"/>
    <s v="CO-C"/>
    <d v="2026-02-23T00:00:00"/>
    <x v="8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337"/>
    <s v="3029619021092431"/>
    <s v="1.01.00"/>
    <s v="FP Labor -Billable Cost"/>
    <s v="Labor"/>
    <s v="CO-C"/>
    <d v="2026-02-23T00:00:00"/>
    <x v="8"/>
    <x v="1"/>
    <s v="Employee"/>
    <s v="5"/>
    <s v="ORCL EG"/>
    <s v="502416 - 3WP-EMEA Delivery Middleware - IaaS"/>
    <s v="008U"/>
    <s v="Y"/>
    <s v="Y"/>
    <s v="Unrecognized"/>
    <n v="8"/>
    <s v="AED"/>
    <n v="61.14"/>
    <n v="660.13"/>
    <n v="489.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64235"/>
    <s v="1525841780:1"/>
    <s v="1.01.00"/>
    <s v="FP Labor -Billable Cost"/>
    <s v="Labor"/>
    <s v="CO-C"/>
    <d v="2026-02-23T00:00:00"/>
    <x v="8"/>
    <x v="5"/>
    <s v="Employee"/>
    <s v="4"/>
    <s v="ORCL IT"/>
    <s v="503896 - 6FT:EMEA OCS Tech Other Delivery"/>
    <s v="0048"/>
    <s v="Y"/>
    <s v="Y"/>
    <s v="Unrecognized"/>
    <n v="8"/>
    <s v="AED"/>
    <n v="261.22000000000003"/>
    <n v="542.25"/>
    <n v="2089.7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99691"/>
    <s v="1528886926:1"/>
    <s v="1.01.00"/>
    <s v="FP Labor -Billable Cost"/>
    <s v="Labor"/>
    <s v="CO-C"/>
    <d v="2026-02-23T00:00:00"/>
    <x v="8"/>
    <x v="3"/>
    <s v="Employee"/>
    <s v="6"/>
    <s v="ORCL IN OSSI"/>
    <s v="504506 - 94V:GSC-eStudio"/>
    <s v="09B4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8282"/>
    <s v="1523151211:1"/>
    <s v="1.01.00"/>
    <s v="FP Labor -Billable Cost"/>
    <s v="Labor"/>
    <s v="CO-C"/>
    <d v="2026-02-23T00:00:00"/>
    <x v="8"/>
    <x v="4"/>
    <s v="Employee"/>
    <s v="6"/>
    <s v="ORCL PT"/>
    <s v="503896 - 6FT:EMEA OCS Tech Other Delivery"/>
    <s v="0057"/>
    <s v="Y"/>
    <s v="Y"/>
    <s v="Unrecognized"/>
    <n v="8"/>
    <s v="AED"/>
    <n v="308.35000000000002"/>
    <n v="754.44"/>
    <n v="2466.7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298"/>
    <s v="3029620308083701"/>
    <s v="1.01.00"/>
    <s v="FP Labor -Billable Cost"/>
    <s v="Labor"/>
    <s v="CO-C"/>
    <d v="2026-02-23T00:00:00"/>
    <x v="8"/>
    <x v="2"/>
    <s v="Billable Contractor"/>
    <m/>
    <s v="ORCL EG"/>
    <s v="509485 - 73M: EMEA Business Analytics - PaaS"/>
    <s v="008U"/>
    <s v="Y"/>
    <s v="Y"/>
    <s v="Unrecognized"/>
    <n v="8"/>
    <s v="AED"/>
    <n v="59.37"/>
    <n v="542.25"/>
    <n v="474.9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16650"/>
    <s v="3029605145603592"/>
    <s v="1.01.00"/>
    <s v="FP Labor -Billable Cost"/>
    <s v="Labor"/>
    <s v="CO-C"/>
    <d v="2026-02-24T00:00:00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095"/>
    <s v="3029631346039861"/>
    <s v="1.01.00"/>
    <s v="FP Labor -Billable Cost"/>
    <s v="Labor"/>
    <s v="CO-C"/>
    <d v="2026-02-24T00:00:00"/>
    <x v="8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225"/>
    <s v="3029619021092451"/>
    <s v="1.01.00"/>
    <s v="FP Labor -Billable Cost"/>
    <s v="Labor"/>
    <s v="CO-C"/>
    <d v="2026-02-24T00:00:00"/>
    <x v="8"/>
    <x v="1"/>
    <s v="Employee"/>
    <s v="5"/>
    <s v="ORCL EG"/>
    <s v="502416 - 3WP-EMEA Delivery Middleware - IaaS"/>
    <s v="008U"/>
    <s v="Y"/>
    <s v="Y"/>
    <s v="Unrecognized"/>
    <n v="8"/>
    <s v="AED"/>
    <n v="60.94"/>
    <n v="660.13"/>
    <n v="487.5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8499"/>
    <s v="1522775844:1"/>
    <s v="1.01.00"/>
    <s v="FP Labor -Billable Cost"/>
    <s v="Labor"/>
    <s v="CO-C"/>
    <d v="2026-02-24T00:00:00"/>
    <x v="8"/>
    <x v="5"/>
    <s v="Employee"/>
    <s v="4"/>
    <s v="ORCL IT"/>
    <s v="503896 - 6FT:EMEA OCS Tech Other Delivery"/>
    <s v="0048"/>
    <s v="Y"/>
    <s v="Y"/>
    <s v="Unrecognized"/>
    <n v="8"/>
    <s v="AED"/>
    <n v="261.36"/>
    <n v="542.25"/>
    <n v="2090.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3303"/>
    <s v="1528886927:1"/>
    <s v="1.01.00"/>
    <s v="FP Labor -Billable Cost"/>
    <s v="Labor"/>
    <s v="CO-C"/>
    <d v="2026-02-24T00:00:00"/>
    <x v="8"/>
    <x v="3"/>
    <s v="Employee"/>
    <s v="6"/>
    <s v="ORCL IN OSSI"/>
    <s v="504506 - 94V:GSC-eStudio"/>
    <s v="09B4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180"/>
    <s v="3029620308083721"/>
    <s v="1.01.00"/>
    <s v="FP Labor -Billable Cost"/>
    <s v="Labor"/>
    <s v="CO-C"/>
    <d v="2026-02-24T00:00:00"/>
    <x v="8"/>
    <x v="2"/>
    <s v="Billable Contractor"/>
    <m/>
    <s v="ORCL EG"/>
    <s v="509485 - 73M: EMEA Business Analytics - PaaS"/>
    <s v="008U"/>
    <s v="Y"/>
    <s v="Y"/>
    <s v="Unrecognized"/>
    <n v="8"/>
    <s v="AED"/>
    <n v="59.18"/>
    <n v="542.25"/>
    <n v="473.4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11389"/>
    <s v="3029605145603612"/>
    <s v="1.01.00"/>
    <s v="FP Labor -Billable Cost"/>
    <s v="Labor"/>
    <s v="CO-C"/>
    <d v="2026-02-25T00:00:00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9840"/>
    <s v="3029631346039881"/>
    <s v="1.01.00"/>
    <s v="FP Labor -Billable Cost"/>
    <s v="Labor"/>
    <s v="CO-C"/>
    <d v="2026-02-25T00:00:00"/>
    <x v="8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9865"/>
    <s v="3029619021092471"/>
    <s v="1.01.00"/>
    <s v="FP Labor -Billable Cost"/>
    <s v="Labor"/>
    <s v="CO-C"/>
    <d v="2026-02-25T00:00:00"/>
    <x v="8"/>
    <x v="1"/>
    <s v="Employee"/>
    <s v="5"/>
    <s v="ORCL EG"/>
    <s v="502416 - 3WP-EMEA Delivery Middleware - IaaS"/>
    <s v="008U"/>
    <s v="Y"/>
    <s v="Y"/>
    <s v="Unrecognized"/>
    <n v="8"/>
    <s v="AED"/>
    <n v="60.94"/>
    <n v="660.13"/>
    <n v="487.5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13553"/>
    <s v="1522775845:1"/>
    <s v="1.01.00"/>
    <s v="FP Labor -Billable Cost"/>
    <s v="Labor"/>
    <s v="CO-C"/>
    <d v="2026-02-25T00:00:00"/>
    <x v="8"/>
    <x v="5"/>
    <s v="Employee"/>
    <s v="4"/>
    <s v="ORCL IT"/>
    <s v="503896 - 6FT:EMEA OCS Tech Other Delivery"/>
    <s v="0048"/>
    <s v="Y"/>
    <s v="Y"/>
    <s v="Unrecognized"/>
    <n v="8"/>
    <s v="AED"/>
    <n v="261.36"/>
    <n v="542.25"/>
    <n v="2090.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25866"/>
    <s v="1528886928:1"/>
    <s v="1.01.00"/>
    <s v="FP Labor -Billable Cost"/>
    <s v="Labor"/>
    <s v="CO-C"/>
    <d v="2026-02-25T00:00:00"/>
    <x v="8"/>
    <x v="3"/>
    <s v="Employee"/>
    <s v="6"/>
    <s v="ORCL IN OSSI"/>
    <s v="504506 - 94V:GSC-eStudio"/>
    <s v="09B4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4434"/>
    <s v="1528741332:1"/>
    <s v="1.01.00"/>
    <s v="FP Labor -Billable Cost"/>
    <s v="Labor"/>
    <s v="CO-C"/>
    <d v="2026-02-25T00:00:00"/>
    <x v="8"/>
    <x v="4"/>
    <s v="Employee"/>
    <s v="6"/>
    <s v="ORCL PT"/>
    <s v="503896 - 6FT:EMEA OCS Tech Other Delivery"/>
    <s v="0057"/>
    <s v="Y"/>
    <s v="Y"/>
    <s v="Unrecognized"/>
    <n v="4"/>
    <s v="AED"/>
    <n v="308.52"/>
    <n v="754.44"/>
    <n v="1234.07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9913"/>
    <s v="3029620308083741"/>
    <s v="1.01.00"/>
    <s v="FP Labor -Billable Cost"/>
    <s v="Labor"/>
    <s v="CO-C"/>
    <d v="2026-02-25T00:00:00"/>
    <x v="8"/>
    <x v="2"/>
    <s v="Billable Contractor"/>
    <m/>
    <s v="ORCL EG"/>
    <s v="509485 - 73M: EMEA Business Analytics - PaaS"/>
    <s v="008U"/>
    <s v="Y"/>
    <s v="Y"/>
    <s v="Unrecognized"/>
    <n v="8"/>
    <s v="AED"/>
    <n v="59.18"/>
    <n v="542.25"/>
    <n v="473.4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99831"/>
    <s v="3029619026830251"/>
    <s v="1.01.00"/>
    <s v="FP Labor -Billable Cost"/>
    <s v="Labor"/>
    <s v="CO-C"/>
    <d v="2026-02-25T00:00:00"/>
    <x v="8"/>
    <x v="6"/>
    <s v="Employee"/>
    <s v="7"/>
    <s v="ORCL CY"/>
    <s v="503896 - 6FT:EMEA OCS Tech Other Delivery"/>
    <s v="010K"/>
    <s v="Y"/>
    <s v="Y"/>
    <s v="Unrecognized"/>
    <n v="8"/>
    <s v="AED"/>
    <n v="273.79000000000002"/>
    <n v="813.38"/>
    <n v="2190.32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5072"/>
    <s v="3029605145603632"/>
    <s v="1.01.00"/>
    <s v="FP Labor -Billable Cost"/>
    <s v="Labor"/>
    <s v="CO-C"/>
    <d v="2026-02-26T00:00:00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80633"/>
    <s v="3029631346039901"/>
    <s v="1.01.00"/>
    <s v="FP Labor -Billable Cost"/>
    <s v="Labor"/>
    <s v="CO-C"/>
    <d v="2026-02-26T00:00:00"/>
    <x v="8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80708"/>
    <s v="3029619021092491"/>
    <s v="1.01.00"/>
    <s v="FP Labor -Billable Cost"/>
    <s v="Labor"/>
    <s v="CO-C"/>
    <d v="2026-02-26T00:00:00"/>
    <x v="8"/>
    <x v="1"/>
    <s v="Employee"/>
    <s v="5"/>
    <s v="ORCL EG"/>
    <s v="502416 - 3WP-EMEA Delivery Middleware - IaaS"/>
    <s v="008U"/>
    <s v="Y"/>
    <s v="Y"/>
    <s v="Unrecognized"/>
    <n v="8"/>
    <s v="AED"/>
    <n v="60.76"/>
    <n v="660.13"/>
    <n v="486.0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7599"/>
    <s v="1522775846:1"/>
    <s v="1.01.00"/>
    <s v="FP Labor -Billable Cost"/>
    <s v="Labor"/>
    <s v="CO-C"/>
    <d v="2026-02-26T00:00:00"/>
    <x v="8"/>
    <x v="5"/>
    <s v="Employee"/>
    <s v="4"/>
    <s v="ORCL IT"/>
    <s v="503896 - 6FT:EMEA OCS Tech Other Delivery"/>
    <s v="0048"/>
    <s v="Y"/>
    <s v="Y"/>
    <s v="Unrecognized"/>
    <n v="8"/>
    <s v="AED"/>
    <n v="261.10000000000002"/>
    <n v="542.25"/>
    <n v="2088.7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96432"/>
    <s v="1528886929:1"/>
    <s v="1.01.00"/>
    <s v="FP Labor -Billable Cost"/>
    <s v="Labor"/>
    <s v="CO-C"/>
    <d v="2026-02-26T00:00:00"/>
    <x v="8"/>
    <x v="3"/>
    <s v="Employee"/>
    <s v="6"/>
    <s v="ORCL IN OSSI"/>
    <s v="504506 - 94V:GSC-eStudio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80619"/>
    <s v="3029621605907441"/>
    <s v="1.01.00"/>
    <s v="FP Labor -Billable Cost"/>
    <s v="Labor"/>
    <s v="CO-C"/>
    <d v="2026-02-26T00:00:00"/>
    <x v="8"/>
    <x v="2"/>
    <s v="Billable Contractor"/>
    <m/>
    <s v="ORCL EG"/>
    <s v="509485 - 73M: EMEA Business Analytics - PaaS"/>
    <s v="008U"/>
    <s v="Y"/>
    <s v="Y"/>
    <s v="Unrecognized"/>
    <n v="8"/>
    <s v="AED"/>
    <n v="59"/>
    <n v="542.25"/>
    <n v="4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3469"/>
    <s v="3029619026830271"/>
    <s v="1.01.00"/>
    <s v="FP Labor -Billable Cost"/>
    <s v="Labor"/>
    <s v="CO-C"/>
    <d v="2026-02-26T00:00:00"/>
    <x v="8"/>
    <x v="6"/>
    <s v="Employee"/>
    <s v="7"/>
    <s v="ORCL CY"/>
    <s v="503896 - 6FT:EMEA OCS Tech Other Delivery"/>
    <s v="010K"/>
    <s v="Y"/>
    <s v="Y"/>
    <s v="Unrecognized"/>
    <n v="8"/>
    <s v="AED"/>
    <n v="273.51"/>
    <n v="813.38"/>
    <n v="2188.1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8383"/>
    <s v="3029631743386841"/>
    <s v="1.01.00"/>
    <s v="FP Labor -Billable Cost"/>
    <s v="Labor"/>
    <s v="CO-C"/>
    <d v="2026-02-27T00:00:00"/>
    <x v="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4660"/>
    <s v="3029631346039921"/>
    <s v="1.01.00"/>
    <s v="FP Labor -Billable Cost"/>
    <s v="Labor"/>
    <s v="CO-C"/>
    <d v="2026-02-27T00:00:00"/>
    <x v="8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4076"/>
    <s v="1525841779:1"/>
    <s v="1.01.00"/>
    <s v="FP Labor -Billable Cost"/>
    <s v="Labor"/>
    <s v="CO-C"/>
    <d v="2026-02-27T00:00:00"/>
    <x v="8"/>
    <x v="5"/>
    <s v="Employee"/>
    <s v="4"/>
    <s v="ORCL IT"/>
    <s v="503896 - 6FT:EMEA OCS Tech Other Delivery"/>
    <s v="0048"/>
    <s v="Y"/>
    <s v="Y"/>
    <s v="Unrecognized"/>
    <n v="8"/>
    <s v="AED"/>
    <n v="261.10000000000002"/>
    <n v="542.25"/>
    <n v="2088.7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5115"/>
    <s v="1528611863:1"/>
    <s v="1.01.00"/>
    <s v="FP Labor -Billable Cost"/>
    <s v="Labor"/>
    <s v="CO-C"/>
    <d v="2026-02-27T00:00:00"/>
    <x v="8"/>
    <x v="7"/>
    <s v="Employee"/>
    <s v="7"/>
    <s v="ORCL GR"/>
    <s v="509495 - 74M: EMEA Integration - PaaS"/>
    <s v="0063"/>
    <s v="Y"/>
    <s v="Y"/>
    <s v="Unrecognized"/>
    <n v="8"/>
    <s v="AED"/>
    <n v="251.24"/>
    <n v="813.38"/>
    <n v="2009.8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2370"/>
    <s v="1528886930:1"/>
    <s v="1.01.00"/>
    <s v="FP Labor -Billable Cost"/>
    <s v="Labor"/>
    <s v="CO-C"/>
    <d v="2026-02-27T00:00:00"/>
    <x v="8"/>
    <x v="3"/>
    <s v="Employee"/>
    <s v="6"/>
    <s v="ORCL IN OSSI"/>
    <s v="504506 - 94V:GSC-eStudio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2515"/>
    <s v="3029619026830291"/>
    <s v="1.01.00"/>
    <s v="FP Labor -Billable Cost"/>
    <s v="Labor"/>
    <s v="CO-C"/>
    <d v="2026-02-27T00:00:00"/>
    <x v="8"/>
    <x v="6"/>
    <s v="Employee"/>
    <s v="7"/>
    <s v="ORCL CY"/>
    <s v="503896 - 6FT:EMEA OCS Tech Other Delivery"/>
    <s v="010K"/>
    <s v="Y"/>
    <s v="Y"/>
    <s v="Unrecognized"/>
    <n v="8"/>
    <s v="AED"/>
    <n v="273.51"/>
    <n v="813.38"/>
    <n v="2188.1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599929"/>
    <s v="3029636789741761"/>
    <s v="1.01.00"/>
    <s v="FP Labor -Billable Cost"/>
    <s v="Labor"/>
    <s v="CO-C"/>
    <d v="2026-03-01T00:00:00"/>
    <x v="9"/>
    <x v="1"/>
    <s v="Employee"/>
    <s v="5"/>
    <s v="ORCL EG"/>
    <s v="502416 - 3WP-EMEA Delivery Middleware - IaaS"/>
    <s v="008U"/>
    <s v="Y"/>
    <s v="Y"/>
    <s v="Unrecognized"/>
    <n v="8"/>
    <s v="AED"/>
    <n v="60.76"/>
    <n v="660.13"/>
    <n v="486.0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63"/>
    <s v="3029640796624031"/>
    <s v="1.01.00"/>
    <s v="FP Labor -Billable Cost"/>
    <s v="Labor"/>
    <s v="CO-C"/>
    <d v="2026-03-02T00:00:00"/>
    <x v="9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07507"/>
    <s v="3029605146349102"/>
    <s v="1.01.00"/>
    <s v="FP Labor -Billable Cost"/>
    <s v="Labor"/>
    <s v="CO-C"/>
    <d v="2026-03-02T00:00:00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00093"/>
    <s v="3029636789741781"/>
    <s v="1.01.00"/>
    <s v="FP Labor -Billable Cost"/>
    <s v="Labor"/>
    <s v="CO-C"/>
    <d v="2026-03-02T00:00:00"/>
    <x v="9"/>
    <x v="1"/>
    <s v="Employee"/>
    <s v="5"/>
    <s v="ORCL EG"/>
    <s v="502416 - 3WP-EMEA Delivery Middleware - IaaS"/>
    <s v="008U"/>
    <s v="Y"/>
    <s v="Y"/>
    <s v="Unrecognized"/>
    <n v="8"/>
    <s v="AED"/>
    <n v="60.76"/>
    <n v="660.13"/>
    <n v="486.0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194274"/>
    <s v="1529608414:1"/>
    <s v="1.01.00"/>
    <s v="FP Labor -Billable Cost"/>
    <s v="Labor"/>
    <s v="CO-C"/>
    <d v="2026-03-02T00:00:00"/>
    <x v="9"/>
    <x v="5"/>
    <s v="Employee"/>
    <s v="4"/>
    <s v="ORCL IT"/>
    <s v="503896 - 6FT:EMEA OCS Tech Other Delivery"/>
    <s v="0048"/>
    <s v="Y"/>
    <s v="Y"/>
    <s v="Unrecognized"/>
    <n v="8"/>
    <s v="AED"/>
    <n v="261.10000000000002"/>
    <n v="542.25"/>
    <n v="2088.7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130048"/>
    <s v="1523118021:1"/>
    <s v="1.01.00"/>
    <s v="FP Labor -Billable Cost"/>
    <s v="Labor"/>
    <s v="CO-C"/>
    <d v="2026-03-02T00:00:00"/>
    <x v="9"/>
    <x v="3"/>
    <s v="Employee"/>
    <s v="6"/>
    <s v="ORCL IN OSSI"/>
    <s v="504506 - 94V:GSC-eStudio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439875"/>
    <s v="1530535529:1"/>
    <s v="1.01.00"/>
    <s v="FP Labor -Billable Cost"/>
    <s v="Labor"/>
    <s v="CO-C"/>
    <d v="2026-03-02T00:00:00"/>
    <x v="9"/>
    <x v="4"/>
    <s v="Employee"/>
    <s v="6"/>
    <s v="ORCL PT"/>
    <s v="503896 - 6FT:EMEA OCS Tech Other Delivery"/>
    <s v="0057"/>
    <s v="Y"/>
    <s v="Y"/>
    <s v="Unrecognized"/>
    <n v="8"/>
    <s v="AED"/>
    <n v="308.20999999999998"/>
    <n v="754.44"/>
    <n v="2465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62"/>
    <s v="3029640796624061"/>
    <s v="1.01.00"/>
    <s v="FP Labor -Billable Cost"/>
    <s v="Labor"/>
    <s v="CO-C"/>
    <d v="2026-03-03T00:00:00"/>
    <x v="9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10200"/>
    <s v="3029605146349122"/>
    <s v="1.01.00"/>
    <s v="FP Labor -Billable Cost"/>
    <s v="Labor"/>
    <s v="CO-C"/>
    <d v="2026-03-03T00:00:00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00091"/>
    <s v="3029636789741801"/>
    <s v="1.01.00"/>
    <s v="FP Labor -Billable Cost"/>
    <s v="Labor"/>
    <s v="CO-C"/>
    <d v="2026-03-03T00:00:00"/>
    <x v="9"/>
    <x v="1"/>
    <s v="Employee"/>
    <s v="5"/>
    <s v="ORCL EG"/>
    <s v="502416 - 3WP-EMEA Delivery Middleware - IaaS"/>
    <s v="008U"/>
    <s v="Y"/>
    <s v="Y"/>
    <s v="Unrecognized"/>
    <n v="8"/>
    <s v="AED"/>
    <n v="60.76"/>
    <n v="660.13"/>
    <n v="486.0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162425"/>
    <s v="1529608415:1"/>
    <s v="1.01.00"/>
    <s v="FP Labor -Billable Cost"/>
    <s v="Labor"/>
    <s v="CO-C"/>
    <d v="2026-03-03T00:00:00"/>
    <x v="9"/>
    <x v="5"/>
    <s v="Employee"/>
    <s v="4"/>
    <s v="ORCL IT"/>
    <s v="503896 - 6FT:EMEA OCS Tech Other Delivery"/>
    <s v="0048"/>
    <s v="Y"/>
    <s v="Y"/>
    <s v="Unrecognized"/>
    <n v="8"/>
    <s v="AED"/>
    <n v="261.10000000000002"/>
    <n v="542.25"/>
    <n v="2088.7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08471"/>
    <s v="1523118022:1"/>
    <s v="1.01.00"/>
    <s v="FP Labor -Billable Cost"/>
    <s v="Labor"/>
    <s v="CO-C"/>
    <d v="2026-03-03T00:00:00"/>
    <x v="9"/>
    <x v="3"/>
    <s v="Employee"/>
    <s v="6"/>
    <s v="ORCL IN OSSI"/>
    <s v="504506 - 94V:GSC-eStudio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61"/>
    <s v="3029640796624091"/>
    <s v="1.01.00"/>
    <s v="FP Labor -Billable Cost"/>
    <s v="Labor"/>
    <s v="CO-C"/>
    <d v="2026-03-04T00:00:00"/>
    <x v="9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22416"/>
    <s v="3029605146349142"/>
    <s v="1.01.00"/>
    <s v="FP Labor -Billable Cost"/>
    <s v="Labor"/>
    <s v="CO-C"/>
    <d v="2026-03-04T00:00:00"/>
    <x v="9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1428"/>
    <s v="3029637443741401"/>
    <s v="1.01.00"/>
    <s v="FP Labor -Billable Cost"/>
    <s v="Labor"/>
    <s v="CO-C"/>
    <d v="2026-03-04T00:00:00"/>
    <x v="9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00089"/>
    <s v="3029636789741821"/>
    <s v="1.01.00"/>
    <s v="FP Labor -Billable Cost"/>
    <s v="Labor"/>
    <s v="CO-C"/>
    <d v="2026-03-04T00:00:00"/>
    <x v="9"/>
    <x v="1"/>
    <s v="Employee"/>
    <s v="5"/>
    <s v="ORCL EG"/>
    <s v="502416 - 3WP-EMEA Delivery Middleware - IaaS"/>
    <s v="008U"/>
    <s v="Y"/>
    <s v="Y"/>
    <s v="Unrecognized"/>
    <n v="8"/>
    <s v="AED"/>
    <n v="60.76"/>
    <n v="660.13"/>
    <n v="486.0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142373"/>
    <s v="1529608416:1"/>
    <s v="1.01.00"/>
    <s v="FP Labor -Billable Cost"/>
    <s v="Labor"/>
    <s v="CO-C"/>
    <d v="2026-03-04T00:00:00"/>
    <x v="9"/>
    <x v="5"/>
    <s v="Employee"/>
    <s v="4"/>
    <s v="ORCL IT"/>
    <s v="503896 - 6FT:EMEA OCS Tech Other Delivery"/>
    <s v="0048"/>
    <s v="Y"/>
    <s v="Y"/>
    <s v="Unrecognized"/>
    <n v="8"/>
    <s v="AED"/>
    <n v="261.10000000000002"/>
    <n v="542.25"/>
    <n v="2088.7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45801"/>
    <s v="1523118023:1"/>
    <s v="1.01.00"/>
    <s v="FP Labor -Billable Cost"/>
    <s v="Labor"/>
    <s v="CO-C"/>
    <d v="2026-03-04T00:00:00"/>
    <x v="9"/>
    <x v="3"/>
    <s v="Employee"/>
    <s v="6"/>
    <s v="ORCL IN OSSI"/>
    <s v="504506 - 94V:GSC-eStudio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439775"/>
    <s v="1530535528:1"/>
    <s v="1.01.00"/>
    <s v="FP Labor -Billable Cost"/>
    <s v="Labor"/>
    <s v="CO-C"/>
    <d v="2026-03-04T00:00:00"/>
    <x v="9"/>
    <x v="4"/>
    <s v="Employee"/>
    <s v="6"/>
    <s v="ORCL PT"/>
    <s v="503896 - 6FT:EMEA OCS Tech Other Delivery"/>
    <s v="0057"/>
    <s v="Y"/>
    <s v="Y"/>
    <s v="Unrecognized"/>
    <n v="8"/>
    <s v="AED"/>
    <n v="308.20999999999998"/>
    <n v="754.44"/>
    <n v="2465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60"/>
    <s v="3029640796624121"/>
    <s v="1.01.00"/>
    <s v="FP Labor -Billable Cost"/>
    <s v="Labor"/>
    <s v="CO-C"/>
    <d v="2026-03-05T00:00:00"/>
    <x v="9"/>
    <x v="9"/>
    <s v="Employee"/>
    <s v="7"/>
    <s v="ORCL AE"/>
    <s v="509505 - 75M: EMEA Digital - PaaS"/>
    <s v="0069"/>
    <s v="Y"/>
    <s v="Y"/>
    <s v="Unrecognized"/>
    <n v="2"/>
    <s v="AED"/>
    <n v="433.37"/>
    <n v="813.38"/>
    <n v="866.74"/>
    <n v="0"/>
    <n v="1626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08136"/>
    <s v="3029605146349163"/>
    <s v="1.01.00"/>
    <s v="FP Labor -Billable Cost"/>
    <s v="Labor"/>
    <s v="CO-C"/>
    <d v="2026-03-05T00:00:00"/>
    <x v="9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08664"/>
    <s v="3029641115848771"/>
    <s v="1.01.00"/>
    <s v="FP Labor -Billable Cost"/>
    <s v="Labor"/>
    <s v="CO-C"/>
    <d v="2026-03-05T00:00:00"/>
    <x v="9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00086"/>
    <s v="3029636789741841"/>
    <s v="1.01.00"/>
    <s v="FP Labor -Billable Cost"/>
    <s v="Labor"/>
    <s v="CO-C"/>
    <d v="2026-03-05T00:00:00"/>
    <x v="9"/>
    <x v="1"/>
    <s v="Employee"/>
    <s v="5"/>
    <s v="ORCL EG"/>
    <s v="502416 - 3WP-EMEA Delivery Middleware - IaaS"/>
    <s v="008U"/>
    <s v="Y"/>
    <s v="Y"/>
    <s v="Unrecognized"/>
    <n v="8"/>
    <s v="AED"/>
    <n v="57.96"/>
    <n v="660.13"/>
    <n v="463.7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24286"/>
    <s v="1529608417:1"/>
    <s v="1.01.00"/>
    <s v="FP Labor -Billable Cost"/>
    <s v="Labor"/>
    <s v="CO-C"/>
    <d v="2026-03-05T00:00:00"/>
    <x v="9"/>
    <x v="5"/>
    <s v="Employee"/>
    <s v="4"/>
    <s v="ORCL IT"/>
    <s v="503896 - 6FT:EMEA OCS Tech Other Delivery"/>
    <s v="0048"/>
    <s v="Y"/>
    <s v="Y"/>
    <s v="Unrecognized"/>
    <n v="8"/>
    <s v="AED"/>
    <n v="258.14"/>
    <n v="542.25"/>
    <n v="2065.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1414"/>
    <s v="1523118024:1"/>
    <s v="1.01.00"/>
    <s v="FP Labor -Billable Cost"/>
    <s v="Labor"/>
    <s v="CO-C"/>
    <d v="2026-03-05T00:00:00"/>
    <x v="9"/>
    <x v="3"/>
    <s v="Employee"/>
    <s v="6"/>
    <s v="ORCL IN OSSI"/>
    <s v="504506 - 94V:GSC-eStudio"/>
    <s v="09B4"/>
    <s v="Y"/>
    <s v="Y"/>
    <s v="Unrecognized"/>
    <n v="8"/>
    <s v="AED"/>
    <n v="111.96"/>
    <n v="754.44"/>
    <n v="895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58161"/>
    <s v="3029619025384711"/>
    <s v="1.01.00"/>
    <s v="FP Labor -Billable Cost"/>
    <s v="Labor"/>
    <s v="CO-C"/>
    <d v="2026-03-05T00:00:00"/>
    <x v="9"/>
    <x v="6"/>
    <s v="Employee"/>
    <s v="7"/>
    <s v="ORCL CY"/>
    <s v="503896 - 6FT:EMEA OCS Tech Other Delivery"/>
    <s v="010K"/>
    <s v="Y"/>
    <s v="Y"/>
    <s v="Unrecognized"/>
    <n v="8"/>
    <s v="AED"/>
    <n v="270.41000000000003"/>
    <n v="813.38"/>
    <n v="2163.2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59"/>
    <s v="3029640796624151"/>
    <s v="1.01.00"/>
    <s v="FP Labor -Billable Cost"/>
    <s v="Labor"/>
    <s v="CO-C"/>
    <d v="2026-03-06T00:00:00"/>
    <x v="9"/>
    <x v="9"/>
    <s v="Employee"/>
    <s v="7"/>
    <s v="ORCL AE"/>
    <s v="509505 - 75M: EMEA Digital - PaaS"/>
    <s v="0069"/>
    <s v="Y"/>
    <s v="Y"/>
    <s v="Unrecognized"/>
    <n v="2"/>
    <s v="AED"/>
    <n v="433.37"/>
    <n v="813.38"/>
    <n v="866.74"/>
    <n v="0"/>
    <n v="1626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04682"/>
    <s v="1529608418:1"/>
    <s v="1.01.00"/>
    <s v="FP Labor -Billable Cost"/>
    <s v="Labor"/>
    <s v="CO-C"/>
    <d v="2026-03-06T00:00:00"/>
    <x v="9"/>
    <x v="5"/>
    <s v="Employee"/>
    <s v="4"/>
    <s v="ORCL IT"/>
    <s v="503896 - 6FT:EMEA OCS Tech Other Delivery"/>
    <s v="0048"/>
    <s v="Y"/>
    <s v="Y"/>
    <s v="Unrecognized"/>
    <n v="8"/>
    <s v="AED"/>
    <n v="257.37"/>
    <n v="542.25"/>
    <n v="2058.9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98490"/>
    <s v="1523118025:1"/>
    <s v="1.01.00"/>
    <s v="FP Labor -Billable Cost"/>
    <s v="Labor"/>
    <s v="CO-C"/>
    <d v="2026-03-06T00:00:00"/>
    <x v="9"/>
    <x v="3"/>
    <s v="Employee"/>
    <s v="6"/>
    <s v="ORCL IN OSSI"/>
    <s v="504506 - 94V:GSC-eStudio"/>
    <s v="09B4"/>
    <s v="Y"/>
    <s v="Y"/>
    <s v="Unrecognized"/>
    <n v="8"/>
    <s v="AED"/>
    <n v="112.63"/>
    <n v="754.44"/>
    <n v="901.0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46021"/>
    <s v="3029619025384731"/>
    <s v="1.01.00"/>
    <s v="FP Labor -Billable Cost"/>
    <s v="Labor"/>
    <s v="CO-C"/>
    <d v="2026-03-06T00:00:00"/>
    <x v="9"/>
    <x v="6"/>
    <s v="Employee"/>
    <s v="7"/>
    <s v="ORCL CY"/>
    <s v="503896 - 6FT:EMEA OCS Tech Other Delivery"/>
    <s v="010K"/>
    <s v="Y"/>
    <s v="Y"/>
    <s v="Unrecognized"/>
    <n v="8"/>
    <s v="AED"/>
    <n v="269.61"/>
    <n v="813.38"/>
    <n v="2156.8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88"/>
    <s v="3029640792240001"/>
    <s v="1.01.00"/>
    <s v="FP Labor -Billable Cost"/>
    <s v="Labor"/>
    <s v="CO-C"/>
    <d v="2026-03-07T00:00:00"/>
    <x v="10"/>
    <x v="9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86"/>
    <s v="3029640792240031"/>
    <s v="1.01.00"/>
    <s v="FP Labor -Billable Cost"/>
    <s v="Labor"/>
    <s v="CO-C"/>
    <d v="2026-03-08T00:00:00"/>
    <x v="10"/>
    <x v="9"/>
    <s v="Employee"/>
    <s v="7"/>
    <s v="ORCL AE"/>
    <s v="509505 - 75M: EMEA Digital - PaaS"/>
    <s v="0069"/>
    <s v="Y"/>
    <s v="Y"/>
    <s v="Unrecognized"/>
    <n v="12"/>
    <s v="AED"/>
    <n v="433.37"/>
    <n v="813.38"/>
    <n v="5200.4399999999996"/>
    <n v="0"/>
    <n v="9760.530000000000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656"/>
    <s v="3029640999362152"/>
    <s v="1.01.00"/>
    <s v="FP Labor -Billable Cost"/>
    <s v="Labor"/>
    <s v="CO-C"/>
    <d v="2026-03-08T00:00:00"/>
    <x v="10"/>
    <x v="1"/>
    <s v="Employee"/>
    <s v="5"/>
    <s v="ORCL EG"/>
    <s v="502416 - 3WP-EMEA Delivery Middleware - IaaS"/>
    <s v="008U"/>
    <s v="Y"/>
    <s v="Y"/>
    <s v="Unrecognized"/>
    <n v="8"/>
    <s v="AED"/>
    <n v="58.02"/>
    <n v="660.13"/>
    <n v="464.1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578196"/>
    <s v="3029632274982171"/>
    <s v="1.01.00"/>
    <s v="FP Labor -Billable Cost"/>
    <s v="Labor"/>
    <s v="CO-C"/>
    <d v="2026-03-09T00:00:00"/>
    <x v="1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655"/>
    <s v="3029640999362172"/>
    <s v="1.01.00"/>
    <s v="FP Labor -Billable Cost"/>
    <s v="Labor"/>
    <s v="CO-C"/>
    <d v="2026-03-09T00:00:00"/>
    <x v="10"/>
    <x v="1"/>
    <s v="Employee"/>
    <s v="5"/>
    <s v="ORCL EG"/>
    <s v="502416 - 3WP-EMEA Delivery Middleware - IaaS"/>
    <s v="008U"/>
    <s v="Y"/>
    <s v="Y"/>
    <s v="Unrecognized"/>
    <n v="8"/>
    <s v="AED"/>
    <n v="58.02"/>
    <n v="660.13"/>
    <n v="464.1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08337"/>
    <s v="1529608514:1"/>
    <s v="1.01.00"/>
    <s v="FP Labor -Billable Cost"/>
    <s v="Labor"/>
    <s v="CO-C"/>
    <d v="2026-03-09T00:00:00"/>
    <x v="10"/>
    <x v="5"/>
    <s v="Employee"/>
    <s v="4"/>
    <s v="ORCL IT"/>
    <s v="503896 - 6FT:EMEA OCS Tech Other Delivery"/>
    <s v="0048"/>
    <s v="Y"/>
    <s v="Y"/>
    <s v="Unrecognized"/>
    <n v="8"/>
    <s v="AED"/>
    <n v="257.55"/>
    <n v="542.25"/>
    <n v="2060.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41824"/>
    <s v="1531841239:1"/>
    <s v="1.01.00"/>
    <s v="FP Labor -Billable Cost"/>
    <s v="Labor"/>
    <s v="CO-C"/>
    <d v="2026-03-09T00:00:00"/>
    <x v="10"/>
    <x v="3"/>
    <s v="Employee"/>
    <s v="6"/>
    <s v="ORCL IN OSSI"/>
    <s v="504506 - 94V:GSC-eStudio"/>
    <s v="09B4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92145"/>
    <s v="1532419634:1"/>
    <s v="1.01.00"/>
    <s v="FP Labor -Billable Cost"/>
    <s v="Labor"/>
    <s v="CO-C"/>
    <d v="2026-03-09T00:00:00"/>
    <x v="10"/>
    <x v="4"/>
    <s v="Employee"/>
    <s v="6"/>
    <s v="ORCL PT"/>
    <s v="503896 - 6FT:EMEA OCS Tech Other Delivery"/>
    <s v="0057"/>
    <s v="Y"/>
    <s v="Y"/>
    <s v="Unrecognized"/>
    <n v="8"/>
    <s v="AED"/>
    <n v="304.02"/>
    <n v="754.44"/>
    <n v="2432.1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55847"/>
    <s v="3029632274982191"/>
    <s v="1.01.00"/>
    <s v="FP Labor -Billable Cost"/>
    <s v="Labor"/>
    <s v="CO-C"/>
    <d v="2026-03-10T00:00:00"/>
    <x v="1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652"/>
    <s v="3029640999362192"/>
    <s v="1.01.00"/>
    <s v="FP Labor -Billable Cost"/>
    <s v="Labor"/>
    <s v="CO-C"/>
    <d v="2026-03-10T00:00:00"/>
    <x v="10"/>
    <x v="1"/>
    <s v="Employee"/>
    <s v="5"/>
    <s v="ORCL EG"/>
    <s v="502416 - 3WP-EMEA Delivery Middleware - IaaS"/>
    <s v="008U"/>
    <s v="Y"/>
    <s v="Y"/>
    <s v="Unrecognized"/>
    <n v="8"/>
    <s v="AED"/>
    <n v="58.02"/>
    <n v="660.13"/>
    <n v="464.1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42151"/>
    <s v="1529608516:1"/>
    <s v="1.01.00"/>
    <s v="FP Labor -Billable Cost"/>
    <s v="Labor"/>
    <s v="CO-C"/>
    <d v="2026-03-10T00:00:00"/>
    <x v="10"/>
    <x v="5"/>
    <s v="Employee"/>
    <s v="4"/>
    <s v="ORCL IT"/>
    <s v="503896 - 6FT:EMEA OCS Tech Other Delivery"/>
    <s v="0048"/>
    <s v="Y"/>
    <s v="Y"/>
    <s v="Unrecognized"/>
    <n v="8"/>
    <s v="AED"/>
    <n v="257.55"/>
    <n v="542.25"/>
    <n v="2060.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41533"/>
    <s v="1531841240:1"/>
    <s v="1.01.00"/>
    <s v="FP Labor -Billable Cost"/>
    <s v="Labor"/>
    <s v="CO-C"/>
    <d v="2026-03-10T00:00:00"/>
    <x v="10"/>
    <x v="3"/>
    <s v="Employee"/>
    <s v="6"/>
    <s v="ORCL IN OSSI"/>
    <s v="504506 - 94V:GSC-eStudio"/>
    <s v="09B4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89830"/>
    <s v="3029632274982211"/>
    <s v="1.01.00"/>
    <s v="FP Labor -Billable Cost"/>
    <s v="Labor"/>
    <s v="CO-C"/>
    <d v="2026-03-11T00:00:00"/>
    <x v="1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99684"/>
    <s v="3029637861741421"/>
    <s v="1.01.00"/>
    <s v="FP Labor -Billable Cost"/>
    <s v="Labor"/>
    <s v="CO-C"/>
    <d v="2026-03-11T00:00:00"/>
    <x v="10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635"/>
    <s v="3029640999362212"/>
    <s v="1.01.00"/>
    <s v="FP Labor -Billable Cost"/>
    <s v="Labor"/>
    <s v="CO-C"/>
    <d v="2026-03-11T00:00:00"/>
    <x v="10"/>
    <x v="1"/>
    <s v="Employee"/>
    <s v="5"/>
    <s v="ORCL EG"/>
    <s v="502416 - 3WP-EMEA Delivery Middleware - IaaS"/>
    <s v="008U"/>
    <s v="Y"/>
    <s v="Y"/>
    <s v="Unrecognized"/>
    <n v="8"/>
    <s v="AED"/>
    <n v="55.96"/>
    <n v="660.13"/>
    <n v="447.6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45507"/>
    <s v="1529608517:1"/>
    <s v="1.01.00"/>
    <s v="FP Labor -Billable Cost"/>
    <s v="Labor"/>
    <s v="CO-C"/>
    <d v="2026-03-11T00:00:00"/>
    <x v="10"/>
    <x v="5"/>
    <s v="Employee"/>
    <s v="4"/>
    <s v="ORCL IT"/>
    <s v="503896 - 6FT:EMEA OCS Tech Other Delivery"/>
    <s v="0048"/>
    <s v="Y"/>
    <s v="Y"/>
    <s v="Unrecognized"/>
    <n v="8"/>
    <s v="AED"/>
    <n v="257.24"/>
    <n v="542.25"/>
    <n v="2057.9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42403"/>
    <s v="1531841241:1"/>
    <s v="1.01.00"/>
    <s v="FP Labor -Billable Cost"/>
    <s v="Labor"/>
    <s v="CO-C"/>
    <d v="2026-03-11T00:00:00"/>
    <x v="10"/>
    <x v="3"/>
    <s v="Employee"/>
    <s v="6"/>
    <s v="ORCL IN OSSI"/>
    <s v="504506 - 94V:GSC-eStudio"/>
    <s v="09B4"/>
    <s v="Y"/>
    <s v="Y"/>
    <s v="Unrecognized"/>
    <n v="8"/>
    <s v="AED"/>
    <n v="112.38"/>
    <n v="754.44"/>
    <n v="899.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92234"/>
    <s v="1532419633:1"/>
    <s v="1.01.00"/>
    <s v="FP Labor -Billable Cost"/>
    <s v="Labor"/>
    <s v="CO-C"/>
    <d v="2026-03-11T00:00:00"/>
    <x v="10"/>
    <x v="4"/>
    <s v="Employee"/>
    <s v="6"/>
    <s v="ORCL PT"/>
    <s v="503896 - 6FT:EMEA OCS Tech Other Delivery"/>
    <s v="0057"/>
    <s v="Y"/>
    <s v="Y"/>
    <s v="Unrecognized"/>
    <n v="4"/>
    <s v="AED"/>
    <n v="303.64999999999998"/>
    <n v="754.44"/>
    <n v="1214.5999999999999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08149"/>
    <s v="3029632274982232"/>
    <s v="1.01.00"/>
    <s v="FP Labor -Billable Cost"/>
    <s v="Labor"/>
    <s v="CO-C"/>
    <d v="2026-03-12T00:00:00"/>
    <x v="10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08941"/>
    <s v="3029641118675591"/>
    <s v="1.01.00"/>
    <s v="FP Labor -Billable Cost"/>
    <s v="Labor"/>
    <s v="CO-C"/>
    <d v="2026-03-12T00:00:00"/>
    <x v="10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668"/>
    <s v="3029641409341481"/>
    <s v="1.01.00"/>
    <s v="FP Labor -Billable Cost"/>
    <s v="Labor"/>
    <s v="CO-C"/>
    <d v="2026-03-12T00:00:00"/>
    <x v="10"/>
    <x v="1"/>
    <s v="Employee"/>
    <s v="5"/>
    <s v="ORCL EG"/>
    <s v="502416 - 3WP-EMEA Delivery Middleware - IaaS"/>
    <s v="008U"/>
    <s v="Y"/>
    <s v="Y"/>
    <s v="Unrecognized"/>
    <n v="8"/>
    <s v="AED"/>
    <n v="55.98"/>
    <n v="660.13"/>
    <n v="447.8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5441"/>
    <s v="1529608519:1"/>
    <s v="1.01.00"/>
    <s v="FP Labor -Billable Cost"/>
    <s v="Labor"/>
    <s v="CO-C"/>
    <d v="2026-03-12T00:00:00"/>
    <x v="10"/>
    <x v="5"/>
    <s v="Employee"/>
    <s v="4"/>
    <s v="ORCL IT"/>
    <s v="503896 - 6FT:EMEA OCS Tech Other Delivery"/>
    <s v="0048"/>
    <s v="Y"/>
    <s v="Y"/>
    <s v="Unrecognized"/>
    <n v="8"/>
    <s v="AED"/>
    <n v="256.07"/>
    <n v="542.25"/>
    <n v="2048.5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42432"/>
    <s v="1531841242:1"/>
    <s v="1.01.00"/>
    <s v="FP Labor -Billable Cost"/>
    <s v="Labor"/>
    <s v="CO-C"/>
    <d v="2026-03-12T00:00:00"/>
    <x v="10"/>
    <x v="3"/>
    <s v="Employee"/>
    <s v="6"/>
    <s v="ORCL IN OSSI"/>
    <s v="504506 - 94V:GSC-eStudio"/>
    <s v="09B4"/>
    <s v="Y"/>
    <s v="Y"/>
    <s v="Unrecognized"/>
    <n v="8"/>
    <s v="AED"/>
    <n v="112.1"/>
    <n v="754.44"/>
    <n v="896.7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11579"/>
    <s v="3029638650354071"/>
    <s v="1.01.00"/>
    <s v="FP Labor -Billable Cost"/>
    <s v="Labor"/>
    <s v="CO-C"/>
    <d v="2026-03-12T00:00:00"/>
    <x v="10"/>
    <x v="6"/>
    <s v="Employee"/>
    <s v="7"/>
    <s v="ORCL CY"/>
    <s v="503896 - 6FT:EMEA OCS Tech Other Delivery"/>
    <s v="010K"/>
    <s v="Y"/>
    <s v="Y"/>
    <s v="Unrecognized"/>
    <n v="8"/>
    <s v="AED"/>
    <n v="268.24"/>
    <n v="813.38"/>
    <n v="2145.9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55448"/>
    <s v="1529608521:1"/>
    <s v="1.01.00"/>
    <s v="FP Labor -Billable Cost"/>
    <s v="Labor"/>
    <s v="CO-C"/>
    <d v="2026-03-13T00:00:00"/>
    <x v="10"/>
    <x v="5"/>
    <s v="Employee"/>
    <s v="4"/>
    <s v="ORCL IT"/>
    <s v="503896 - 6FT:EMEA OCS Tech Other Delivery"/>
    <s v="0048"/>
    <s v="Y"/>
    <s v="Y"/>
    <s v="Unrecognized"/>
    <n v="8"/>
    <s v="AED"/>
    <n v="255.38"/>
    <n v="542.25"/>
    <n v="2043.0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41734"/>
    <s v="1531841243:1"/>
    <s v="1.01.00"/>
    <s v="FP Labor -Billable Cost"/>
    <s v="Labor"/>
    <s v="CO-C"/>
    <d v="2026-03-13T00:00:00"/>
    <x v="10"/>
    <x v="3"/>
    <s v="Employee"/>
    <s v="6"/>
    <s v="ORCL IN OSSI"/>
    <s v="504506 - 94V:GSC-eStudio"/>
    <s v="09B4"/>
    <s v="Y"/>
    <s v="Y"/>
    <s v="Unrecognized"/>
    <n v="8"/>
    <s v="AED"/>
    <n v="111.9"/>
    <n v="754.44"/>
    <n v="895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11573"/>
    <s v="3029638650354091"/>
    <s v="1.01.00"/>
    <s v="FP Labor -Billable Cost"/>
    <s v="Labor"/>
    <s v="CO-C"/>
    <d v="2026-03-13T00:00:00"/>
    <x v="10"/>
    <x v="6"/>
    <s v="Employee"/>
    <s v="7"/>
    <s v="ORCL CY"/>
    <s v="503896 - 6FT:EMEA OCS Tech Other Delivery"/>
    <s v="010K"/>
    <s v="Y"/>
    <s v="Y"/>
    <s v="Unrecognized"/>
    <n v="8"/>
    <s v="AED"/>
    <n v="267.52"/>
    <n v="813.38"/>
    <n v="2140.1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8003"/>
    <s v="3029640799230981"/>
    <s v="1.01.00"/>
    <s v="FP Labor -Billable Cost"/>
    <s v="Labor"/>
    <s v="CO-C"/>
    <d v="2026-03-14T00:00:00"/>
    <x v="11"/>
    <x v="9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8000"/>
    <s v="3029640799231011"/>
    <s v="1.01.00"/>
    <s v="FP Labor -Billable Cost"/>
    <s v="Labor"/>
    <s v="CO-C"/>
    <d v="2026-03-15T00:00:00"/>
    <x v="11"/>
    <x v="9"/>
    <s v="Employee"/>
    <s v="7"/>
    <s v="ORCL AE"/>
    <s v="509505 - 75M: EMEA Digital - PaaS"/>
    <s v="0069"/>
    <s v="Y"/>
    <s v="Y"/>
    <s v="Unrecognized"/>
    <n v="12"/>
    <s v="AED"/>
    <n v="433.37"/>
    <n v="813.38"/>
    <n v="5200.4399999999996"/>
    <n v="0"/>
    <n v="9760.530000000000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30918"/>
    <s v="3029639264136601"/>
    <s v="1.01.00"/>
    <s v="FP Labor -Billable Cost"/>
    <s v="Labor"/>
    <s v="CO-C"/>
    <d v="2026-03-15T00:00:00"/>
    <x v="11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596"/>
    <s v="3029641407357701"/>
    <s v="1.01.00"/>
    <s v="FP Labor -Billable Cost"/>
    <s v="Labor"/>
    <s v="CO-C"/>
    <d v="2026-03-15T00:00:00"/>
    <x v="11"/>
    <x v="1"/>
    <s v="Employee"/>
    <s v="5"/>
    <s v="ORCL EG"/>
    <s v="502416 - 3WP-EMEA Delivery Middleware - IaaS"/>
    <s v="008U"/>
    <s v="Y"/>
    <s v="Y"/>
    <s v="Unrecognized"/>
    <n v="8"/>
    <s v="AED"/>
    <n v="55.47"/>
    <n v="660.13"/>
    <n v="443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00731"/>
    <s v="3029632278994101"/>
    <s v="1.01.00"/>
    <s v="FP Labor -Billable Cost"/>
    <s v="Labor"/>
    <s v="CO-C"/>
    <d v="2026-03-16T00:00:00"/>
    <x v="1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30917"/>
    <s v="3029639264136621"/>
    <s v="1.01.00"/>
    <s v="FP Labor -Billable Cost"/>
    <s v="Labor"/>
    <s v="CO-C"/>
    <d v="2026-03-16T00:00:00"/>
    <x v="11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7044"/>
    <s v="3029641409351151"/>
    <s v="1.01.00"/>
    <s v="FP Labor -Billable Cost"/>
    <s v="Labor"/>
    <s v="CO-C"/>
    <d v="2026-03-16T00:00:00"/>
    <x v="11"/>
    <x v="1"/>
    <s v="Employee"/>
    <s v="5"/>
    <s v="ORCL EG"/>
    <s v="502416 - 3WP-EMEA Delivery Middleware - IaaS"/>
    <s v="008U"/>
    <s v="Y"/>
    <s v="Y"/>
    <s v="Unrecognized"/>
    <n v="8"/>
    <s v="AED"/>
    <n v="55.47"/>
    <n v="660.13"/>
    <n v="443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00296"/>
    <s v="1529608606:1"/>
    <s v="1.01.00"/>
    <s v="FP Labor -Billable Cost"/>
    <s v="Labor"/>
    <s v="CO-C"/>
    <d v="2026-03-16T00:00:00"/>
    <x v="11"/>
    <x v="5"/>
    <s v="Employee"/>
    <s v="4"/>
    <s v="ORCL IT"/>
    <s v="503896 - 6FT:EMEA OCS Tech Other Delivery"/>
    <s v="0048"/>
    <s v="Y"/>
    <s v="Y"/>
    <s v="Unrecognized"/>
    <n v="8"/>
    <s v="AED"/>
    <n v="253.07"/>
    <n v="542.25"/>
    <n v="2024.5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41323"/>
    <s v="1531841603:1"/>
    <s v="1.01.00"/>
    <s v="FP Labor -Billable Cost"/>
    <s v="Labor"/>
    <s v="CO-C"/>
    <d v="2026-03-16T00:00:00"/>
    <x v="11"/>
    <x v="3"/>
    <s v="Employee"/>
    <s v="6"/>
    <s v="ORCL IN OSSI"/>
    <s v="504506 - 94V:GSC-eStudio"/>
    <s v="09B4"/>
    <s v="Y"/>
    <s v="Y"/>
    <s v="Unrecognized"/>
    <n v="8"/>
    <s v="AED"/>
    <n v="111.59"/>
    <n v="754.44"/>
    <n v="892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92004"/>
    <s v="1532419503:1"/>
    <s v="1.01.00"/>
    <s v="FP Labor -Billable Cost"/>
    <s v="Labor"/>
    <s v="CO-C"/>
    <d v="2026-03-16T00:00:00"/>
    <x v="11"/>
    <x v="4"/>
    <s v="Employee"/>
    <s v="6"/>
    <s v="ORCL PT"/>
    <s v="503896 - 6FT:EMEA OCS Tech Other Delivery"/>
    <s v="0057"/>
    <s v="Y"/>
    <s v="Y"/>
    <s v="Unrecognized"/>
    <n v="8"/>
    <s v="AED"/>
    <n v="298.73"/>
    <n v="754.44"/>
    <n v="2389.8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060238"/>
    <s v="3029632278994121"/>
    <s v="1.01.00"/>
    <s v="FP Labor -Billable Cost"/>
    <s v="Labor"/>
    <s v="CO-C"/>
    <d v="2026-03-17T00:00:00"/>
    <x v="1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595"/>
    <s v="3029641408103101"/>
    <s v="1.01.00"/>
    <s v="FP Labor -Billable Cost"/>
    <s v="Labor"/>
    <s v="CO-C"/>
    <d v="2026-03-17T00:00:00"/>
    <x v="11"/>
    <x v="1"/>
    <s v="Employee"/>
    <s v="5"/>
    <s v="ORCL EG"/>
    <s v="502416 - 3WP-EMEA Delivery Middleware - IaaS"/>
    <s v="008U"/>
    <s v="Y"/>
    <s v="Y"/>
    <s v="Unrecognized"/>
    <n v="8"/>
    <s v="AED"/>
    <n v="55.55"/>
    <n v="660.13"/>
    <n v="444.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72078"/>
    <s v="1529608607:1"/>
    <s v="1.01.00"/>
    <s v="FP Labor -Billable Cost"/>
    <s v="Labor"/>
    <s v="CO-C"/>
    <d v="2026-03-17T00:00:00"/>
    <x v="11"/>
    <x v="5"/>
    <s v="Employee"/>
    <s v="4"/>
    <s v="ORCL IT"/>
    <s v="503896 - 6FT:EMEA OCS Tech Other Delivery"/>
    <s v="0048"/>
    <s v="Y"/>
    <s v="Y"/>
    <s v="Unrecognized"/>
    <n v="8"/>
    <s v="AED"/>
    <n v="254.85"/>
    <n v="542.25"/>
    <n v="2038.7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75617"/>
    <s v="1531841604:1"/>
    <s v="1.01.00"/>
    <s v="FP Labor -Billable Cost"/>
    <s v="Labor"/>
    <s v="CO-C"/>
    <d v="2026-03-17T00:00:00"/>
    <x v="11"/>
    <x v="3"/>
    <s v="Employee"/>
    <s v="6"/>
    <s v="ORCL IN OSSI"/>
    <s v="504506 - 94V:GSC-eStudio"/>
    <s v="09B4"/>
    <s v="Y"/>
    <s v="Y"/>
    <s v="Unrecognized"/>
    <n v="8"/>
    <s v="AED"/>
    <n v="111.63"/>
    <n v="754.44"/>
    <n v="893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37552"/>
    <s v="3029632278994141"/>
    <s v="1.01.00"/>
    <s v="FP Labor -Billable Cost"/>
    <s v="Labor"/>
    <s v="CO-C"/>
    <d v="2026-03-18T00:00:00"/>
    <x v="1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594"/>
    <s v="3029641408103121"/>
    <s v="1.01.00"/>
    <s v="FP Labor -Billable Cost"/>
    <s v="Labor"/>
    <s v="CO-C"/>
    <d v="2026-03-18T00:00:00"/>
    <x v="11"/>
    <x v="1"/>
    <s v="Employee"/>
    <s v="5"/>
    <s v="ORCL EG"/>
    <s v="502416 - 3WP-EMEA Delivery Middleware - IaaS"/>
    <s v="008U"/>
    <s v="Y"/>
    <s v="Y"/>
    <s v="Unrecognized"/>
    <n v="8"/>
    <s v="AED"/>
    <n v="55.57"/>
    <n v="660.13"/>
    <n v="444.5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90144"/>
    <s v="1529608608:1"/>
    <s v="1.01.00"/>
    <s v="FP Labor -Billable Cost"/>
    <s v="Labor"/>
    <s v="CO-C"/>
    <d v="2026-03-18T00:00:00"/>
    <x v="11"/>
    <x v="5"/>
    <s v="Employee"/>
    <s v="4"/>
    <s v="ORCL IT"/>
    <s v="503896 - 6FT:EMEA OCS Tech Other Delivery"/>
    <s v="0048"/>
    <s v="Y"/>
    <s v="Y"/>
    <s v="Unrecognized"/>
    <n v="8"/>
    <s v="AED"/>
    <n v="255.79"/>
    <n v="542.25"/>
    <n v="2046.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1734"/>
    <s v="1531841605:1"/>
    <s v="1.01.00"/>
    <s v="FP Labor -Billable Cost"/>
    <s v="Labor"/>
    <s v="CO-C"/>
    <d v="2026-03-18T00:00:00"/>
    <x v="11"/>
    <x v="3"/>
    <s v="Employee"/>
    <s v="6"/>
    <s v="ORCL IN OSSI"/>
    <s v="504506 - 94V:GSC-eStudio"/>
    <s v="09B4"/>
    <s v="Y"/>
    <s v="Y"/>
    <s v="Unrecognized"/>
    <n v="8"/>
    <s v="AED"/>
    <n v="111.68"/>
    <n v="754.44"/>
    <n v="893.4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08100"/>
    <s v="3029632278994162"/>
    <s v="1.01.00"/>
    <s v="FP Labor -Billable Cost"/>
    <s v="Labor"/>
    <s v="CO-C"/>
    <d v="2026-03-19T00:00:00"/>
    <x v="11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07310"/>
    <s v="1529608609:1"/>
    <s v="1.01.00"/>
    <s v="FP Labor -Billable Cost"/>
    <s v="Labor"/>
    <s v="CO-C"/>
    <d v="2026-03-19T00:00:00"/>
    <x v="11"/>
    <x v="5"/>
    <s v="Employee"/>
    <s v="4"/>
    <s v="ORCL IT"/>
    <s v="503896 - 6FT:EMEA OCS Tech Other Delivery"/>
    <s v="0048"/>
    <s v="Y"/>
    <s v="Y"/>
    <s v="Unrecognized"/>
    <n v="8"/>
    <s v="AED"/>
    <n v="253.88"/>
    <n v="542.25"/>
    <n v="2031.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77230"/>
    <s v="3029639221178641"/>
    <s v="1.01.00"/>
    <s v="FP Labor -Billable Cost"/>
    <s v="Labor"/>
    <s v="CO-C"/>
    <d v="2026-03-19T00:00:00"/>
    <x v="11"/>
    <x v="6"/>
    <s v="Employee"/>
    <s v="7"/>
    <s v="ORCL CY"/>
    <s v="503896 - 6FT:EMEA OCS Tech Other Delivery"/>
    <s v="010K"/>
    <s v="Y"/>
    <s v="Y"/>
    <s v="Unrecognized"/>
    <n v="8"/>
    <s v="AED"/>
    <n v="265.95"/>
    <n v="813.38"/>
    <n v="2127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53855"/>
    <s v="1529608610:1"/>
    <s v="1.01.00"/>
    <s v="FP Labor -Billable Cost"/>
    <s v="Labor"/>
    <s v="CO-C"/>
    <d v="2026-03-20T00:00:00"/>
    <x v="11"/>
    <x v="5"/>
    <s v="Employee"/>
    <s v="4"/>
    <s v="ORCL IT"/>
    <s v="503896 - 6FT:EMEA OCS Tech Other Delivery"/>
    <s v="0048"/>
    <s v="Y"/>
    <s v="Y"/>
    <s v="Unrecognized"/>
    <n v="8"/>
    <s v="AED"/>
    <n v="256.60000000000002"/>
    <n v="542.25"/>
    <n v="2052.7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88177"/>
    <s v="1531841607:1"/>
    <s v="1.01.00"/>
    <s v="FP Labor -Billable Cost"/>
    <s v="Labor"/>
    <s v="CO-C"/>
    <d v="2026-03-20T00:00:00"/>
    <x v="11"/>
    <x v="3"/>
    <s v="Employee"/>
    <s v="6"/>
    <s v="ORCL IN OSSI"/>
    <s v="504506 - 94V:GSC-eStudio"/>
    <s v="09B4"/>
    <s v="Y"/>
    <s v="Y"/>
    <s v="Unrecognized"/>
    <n v="8"/>
    <s v="AED"/>
    <n v="111.37"/>
    <n v="754.44"/>
    <n v="890.9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53843"/>
    <s v="3029639221178661"/>
    <s v="1.01.00"/>
    <s v="FP Labor -Billable Cost"/>
    <s v="Labor"/>
    <s v="CO-C"/>
    <d v="2026-03-20T00:00:00"/>
    <x v="11"/>
    <x v="6"/>
    <s v="Employee"/>
    <s v="7"/>
    <s v="ORCL CY"/>
    <s v="503896 - 6FT:EMEA OCS Tech Other Delivery"/>
    <s v="010K"/>
    <s v="Y"/>
    <s v="Y"/>
    <s v="Unrecognized"/>
    <n v="8"/>
    <s v="AED"/>
    <n v="268.8"/>
    <n v="813.38"/>
    <n v="2150.3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66"/>
    <s v="3029640802751531"/>
    <s v="1.01.00"/>
    <s v="FP Labor -Billable Cost"/>
    <s v="Labor"/>
    <s v="CO-C"/>
    <d v="2026-03-23T00:00:00"/>
    <x v="12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06732"/>
    <s v="3029632278601881"/>
    <s v="1.01.00"/>
    <s v="FP Labor -Billable Cost"/>
    <s v="Labor"/>
    <s v="CO-C"/>
    <d v="2026-03-23T00:00:00"/>
    <x v="1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13525"/>
    <s v="1529608691:1"/>
    <s v="1.01.00"/>
    <s v="FP Labor -Billable Cost"/>
    <s v="Labor"/>
    <s v="CO-C"/>
    <d v="2026-03-23T00:00:00"/>
    <x v="12"/>
    <x v="5"/>
    <s v="Employee"/>
    <s v="4"/>
    <s v="ORCL IT"/>
    <s v="503896 - 6FT:EMEA OCS Tech Other Delivery"/>
    <s v="0048"/>
    <s v="Y"/>
    <s v="Y"/>
    <s v="Unrecognized"/>
    <n v="8"/>
    <s v="AED"/>
    <n v="256.51"/>
    <n v="542.25"/>
    <n v="2052.0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09987"/>
    <s v="1532974208:1"/>
    <s v="1.01.00"/>
    <s v="FP Labor -Billable Cost"/>
    <s v="Labor"/>
    <s v="CO-C"/>
    <d v="2026-03-23T00:00:00"/>
    <x v="12"/>
    <x v="3"/>
    <s v="Employee"/>
    <s v="6"/>
    <s v="ORCL IN OSSI"/>
    <s v="504506 - 94V:GSC-eStudio"/>
    <s v="09B4"/>
    <s v="Y"/>
    <s v="Y"/>
    <s v="Unrecognized"/>
    <n v="8"/>
    <s v="AED"/>
    <n v="110.1"/>
    <n v="754.44"/>
    <n v="880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49308"/>
    <s v="1532583560:1"/>
    <s v="1.01.00"/>
    <s v="FP Labor -Billable Cost"/>
    <s v="Labor"/>
    <s v="CO-C"/>
    <d v="2026-03-23T00:00:00"/>
    <x v="12"/>
    <x v="4"/>
    <s v="Employee"/>
    <s v="6"/>
    <s v="ORCL PT"/>
    <s v="503896 - 6FT:EMEA OCS Tech Other Delivery"/>
    <s v="0057"/>
    <s v="Y"/>
    <s v="Y"/>
    <s v="Unrecognized"/>
    <n v="4"/>
    <s v="AED"/>
    <n v="302.79000000000002"/>
    <n v="754.44"/>
    <n v="1211.1500000000001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64"/>
    <s v="3029640802751561"/>
    <s v="1.01.00"/>
    <s v="FP Labor -Billable Cost"/>
    <s v="Labor"/>
    <s v="CO-C"/>
    <d v="2026-03-24T00:00:00"/>
    <x v="12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7880"/>
    <s v="3029632278601901"/>
    <s v="1.01.00"/>
    <s v="FP Labor -Billable Cost"/>
    <s v="Labor"/>
    <s v="CO-C"/>
    <d v="2026-03-24T00:00:00"/>
    <x v="1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560"/>
    <s v="3029641409105601"/>
    <s v="1.01.00"/>
    <s v="FP Labor -Billable Cost"/>
    <s v="Labor"/>
    <s v="CO-C"/>
    <d v="2026-03-24T00:00:00"/>
    <x v="12"/>
    <x v="1"/>
    <s v="Employee"/>
    <s v="5"/>
    <s v="ORCL EG"/>
    <s v="502416 - 3WP-EMEA Delivery Middleware - IaaS"/>
    <s v="008U"/>
    <s v="Y"/>
    <s v="Y"/>
    <s v="Unrecognized"/>
    <n v="8"/>
    <s v="AED"/>
    <n v="55.58"/>
    <n v="660.13"/>
    <n v="444.6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3347"/>
    <s v="1529608692:1"/>
    <s v="1.01.00"/>
    <s v="FP Labor -Billable Cost"/>
    <s v="Labor"/>
    <s v="CO-C"/>
    <d v="2026-03-24T00:00:00"/>
    <x v="12"/>
    <x v="5"/>
    <s v="Employee"/>
    <s v="4"/>
    <s v="ORCL IT"/>
    <s v="503896 - 6FT:EMEA OCS Tech Other Delivery"/>
    <s v="0048"/>
    <s v="Y"/>
    <s v="Y"/>
    <s v="Unrecognized"/>
    <n v="8"/>
    <s v="AED"/>
    <n v="257.31"/>
    <n v="542.25"/>
    <n v="2058.449999999999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08433"/>
    <s v="1532974209:1"/>
    <s v="1.01.00"/>
    <s v="FP Labor -Billable Cost"/>
    <s v="Labor"/>
    <s v="CO-C"/>
    <d v="2026-03-24T00:00:00"/>
    <x v="12"/>
    <x v="3"/>
    <s v="Employee"/>
    <s v="6"/>
    <s v="ORCL IN OSSI"/>
    <s v="504506 - 94V:GSC-eStudio"/>
    <s v="09B4"/>
    <s v="Y"/>
    <s v="Y"/>
    <s v="Unrecognized"/>
    <n v="8"/>
    <s v="AED"/>
    <n v="109.79"/>
    <n v="754.44"/>
    <n v="878.2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85464"/>
    <s v="3029640802751591"/>
    <s v="1.01.00"/>
    <s v="FP Labor -Billable Cost"/>
    <s v="Labor"/>
    <s v="CO-C"/>
    <d v="2026-03-25T00:00:00"/>
    <x v="12"/>
    <x v="9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85452"/>
    <s v="3029632278601921"/>
    <s v="1.01.00"/>
    <s v="FP Labor -Billable Cost"/>
    <s v="Labor"/>
    <s v="CO-C"/>
    <d v="2026-03-25T00:00:00"/>
    <x v="1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2479"/>
    <s v="3029639260170191"/>
    <s v="1.01.00"/>
    <s v="FP Labor -Billable Cost"/>
    <s v="Labor"/>
    <s v="CO-C"/>
    <d v="2026-03-25T00:00:00"/>
    <x v="12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559"/>
    <s v="3029641409105621"/>
    <s v="1.01.00"/>
    <s v="FP Labor -Billable Cost"/>
    <s v="Labor"/>
    <s v="CO-C"/>
    <d v="2026-03-25T00:00:00"/>
    <x v="12"/>
    <x v="1"/>
    <s v="Employee"/>
    <s v="5"/>
    <s v="ORCL EG"/>
    <s v="502416 - 3WP-EMEA Delivery Middleware - IaaS"/>
    <s v="008U"/>
    <s v="Y"/>
    <s v="Y"/>
    <s v="Unrecognized"/>
    <n v="8"/>
    <s v="AED"/>
    <n v="55.22"/>
    <n v="660.13"/>
    <n v="441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57711"/>
    <s v="1529608693:1"/>
    <s v="1.01.00"/>
    <s v="FP Labor -Billable Cost"/>
    <s v="Labor"/>
    <s v="CO-C"/>
    <d v="2026-03-25T00:00:00"/>
    <x v="12"/>
    <x v="5"/>
    <s v="Employee"/>
    <s v="4"/>
    <s v="ORCL IT"/>
    <s v="503896 - 6FT:EMEA OCS Tech Other Delivery"/>
    <s v="0048"/>
    <s v="Y"/>
    <s v="Y"/>
    <s v="Unrecognized"/>
    <n v="8"/>
    <s v="AED"/>
    <n v="257.44"/>
    <n v="542.25"/>
    <n v="2059.510000000000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0620"/>
    <s v="1532974210:1"/>
    <s v="1.01.00"/>
    <s v="FP Labor -Billable Cost"/>
    <s v="Labor"/>
    <s v="CO-C"/>
    <d v="2026-03-25T00:00:00"/>
    <x v="12"/>
    <x v="3"/>
    <s v="Employee"/>
    <s v="6"/>
    <s v="ORCL IN OSSI"/>
    <s v="504506 - 94V:GSC-eStudio"/>
    <s v="09B4"/>
    <s v="Y"/>
    <s v="Y"/>
    <s v="Unrecognized"/>
    <n v="8"/>
    <s v="AED"/>
    <n v="109.9"/>
    <n v="754.44"/>
    <n v="879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54782"/>
    <s v="1532583559:1"/>
    <s v="1.01.00"/>
    <s v="FP Labor -Billable Cost"/>
    <s v="Labor"/>
    <s v="CO-C"/>
    <d v="2026-03-25T00:00:00"/>
    <x v="12"/>
    <x v="4"/>
    <s v="Employee"/>
    <s v="6"/>
    <s v="ORCL PT"/>
    <s v="503896 - 6FT:EMEA OCS Tech Other Delivery"/>
    <s v="0057"/>
    <s v="Y"/>
    <s v="Y"/>
    <s v="Unrecognized"/>
    <n v="8"/>
    <s v="AED"/>
    <n v="303.89"/>
    <n v="754.44"/>
    <n v="2431.0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68989"/>
    <s v="3029640802751621"/>
    <s v="1.01.00"/>
    <s v="FP Labor -Billable Cost"/>
    <s v="Labor"/>
    <s v="CO-C"/>
    <d v="2026-03-26T00:00:00"/>
    <x v="12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69116"/>
    <s v="3029632278601942"/>
    <s v="1.01.00"/>
    <s v="FP Labor -Billable Cost"/>
    <s v="Labor"/>
    <s v="CO-C"/>
    <d v="2026-03-26T00:00:00"/>
    <x v="12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762"/>
    <s v="3029642605560531"/>
    <s v="1.01.00"/>
    <s v="FP Labor -Billable Cost"/>
    <s v="Labor"/>
    <s v="CO-C"/>
    <d v="2026-03-26T00:00:00"/>
    <x v="12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16558"/>
    <s v="3029641409105641"/>
    <s v="1.01.00"/>
    <s v="FP Labor -Billable Cost"/>
    <s v="Labor"/>
    <s v="CO-C"/>
    <d v="2026-03-26T00:00:00"/>
    <x v="12"/>
    <x v="1"/>
    <s v="Employee"/>
    <s v="5"/>
    <s v="ORCL EG"/>
    <s v="502416 - 3WP-EMEA Delivery Middleware - IaaS"/>
    <s v="008U"/>
    <s v="Y"/>
    <s v="Y"/>
    <s v="Unrecognized"/>
    <n v="8"/>
    <s v="AED"/>
    <n v="55.33"/>
    <n v="660.13"/>
    <n v="442.6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29984"/>
    <s v="1529608694:1"/>
    <s v="1.01.00"/>
    <s v="FP Labor -Billable Cost"/>
    <s v="Labor"/>
    <s v="CO-C"/>
    <d v="2026-03-26T00:00:00"/>
    <x v="12"/>
    <x v="5"/>
    <s v="Employee"/>
    <s v="4"/>
    <s v="ORCL IT"/>
    <s v="503896 - 6FT:EMEA OCS Tech Other Delivery"/>
    <s v="0048"/>
    <s v="Y"/>
    <s v="Y"/>
    <s v="Unrecognized"/>
    <n v="8"/>
    <s v="AED"/>
    <n v="256.29000000000002"/>
    <n v="542.25"/>
    <n v="2050.2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08153"/>
    <s v="1532974211:1"/>
    <s v="1.01.00"/>
    <s v="FP Labor -Billable Cost"/>
    <s v="Labor"/>
    <s v="CO-C"/>
    <d v="2026-03-26T00:00:00"/>
    <x v="12"/>
    <x v="3"/>
    <s v="Employee"/>
    <s v="6"/>
    <s v="ORCL IN OSSI"/>
    <s v="504506 - 94V:GSC-eStudio"/>
    <s v="09B4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40115"/>
    <s v="3029639222509231"/>
    <s v="1.01.00"/>
    <s v="FP Labor -Billable Cost"/>
    <s v="Labor"/>
    <s v="CO-C"/>
    <d v="2026-03-26T00:00:00"/>
    <x v="12"/>
    <x v="6"/>
    <s v="Employee"/>
    <s v="7"/>
    <s v="ORCL CY"/>
    <s v="503896 - 6FT:EMEA OCS Tech Other Delivery"/>
    <s v="010K"/>
    <s v="Y"/>
    <s v="Y"/>
    <s v="Unrecognized"/>
    <n v="8"/>
    <s v="AED"/>
    <n v="268.47000000000003"/>
    <n v="813.38"/>
    <n v="2147.78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76769"/>
    <s v="1529608695:1"/>
    <s v="1.01.00"/>
    <s v="FP Labor -Billable Cost"/>
    <s v="Labor"/>
    <s v="CO-C"/>
    <d v="2026-03-27T00:00:00"/>
    <x v="12"/>
    <x v="5"/>
    <s v="Employee"/>
    <s v="4"/>
    <s v="ORCL IT"/>
    <s v="503896 - 6FT:EMEA OCS Tech Other Delivery"/>
    <s v="0048"/>
    <s v="Y"/>
    <s v="Y"/>
    <s v="Unrecognized"/>
    <n v="8"/>
    <s v="AED"/>
    <n v="256.29000000000002"/>
    <n v="542.25"/>
    <n v="2050.2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8141"/>
    <s v="1532974212:1"/>
    <s v="1.01.00"/>
    <s v="FP Labor -Billable Cost"/>
    <s v="Labor"/>
    <s v="CO-C"/>
    <d v="2026-03-27T00:00:00"/>
    <x v="12"/>
    <x v="3"/>
    <s v="Employee"/>
    <s v="6"/>
    <s v="ORCL IN OSSI"/>
    <s v="504506 - 94V:GSC-eStudio"/>
    <s v="09B4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75641"/>
    <s v="3029639222509251"/>
    <s v="1.01.00"/>
    <s v="FP Labor -Billable Cost"/>
    <s v="Labor"/>
    <s v="CO-C"/>
    <d v="2026-03-27T00:00:00"/>
    <x v="12"/>
    <x v="6"/>
    <s v="Employee"/>
    <s v="7"/>
    <s v="ORCL CY"/>
    <s v="503896 - 6FT:EMEA OCS Tech Other Delivery"/>
    <s v="010K"/>
    <s v="Y"/>
    <s v="Y"/>
    <s v="Unrecognized"/>
    <n v="8"/>
    <s v="AED"/>
    <n v="268.47000000000003"/>
    <n v="813.38"/>
    <n v="2147.78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611"/>
    <s v="3029641117008141"/>
    <s v="1.01.00"/>
    <s v="FP Labor -Billable Cost"/>
    <s v="Labor"/>
    <s v="CO-C"/>
    <d v="2026-03-29T00:00:00"/>
    <x v="13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322"/>
    <s v="3029641411269121"/>
    <s v="1.01.00"/>
    <s v="FP Labor -Billable Cost"/>
    <s v="Labor"/>
    <s v="CO-C"/>
    <d v="2026-03-29T00:00:00"/>
    <x v="13"/>
    <x v="1"/>
    <s v="Employee"/>
    <s v="5"/>
    <s v="ORCL EG"/>
    <s v="502416 - 3WP-EMEA Delivery Middleware - IaaS"/>
    <s v="008U"/>
    <s v="Y"/>
    <s v="Y"/>
    <s v="Unrecognized"/>
    <n v="8"/>
    <s v="AED"/>
    <n v="55.16"/>
    <n v="660.13"/>
    <n v="441.2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2179"/>
    <s v="3029640797877301"/>
    <s v="1.01.00"/>
    <s v="FP Labor -Billable Cost"/>
    <s v="Labor"/>
    <s v="CO-C"/>
    <d v="2026-03-30T00:00:00"/>
    <x v="13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3616"/>
    <s v="3029632278309921"/>
    <s v="1.01.00"/>
    <s v="FP Labor -Billable Cost"/>
    <s v="Labor"/>
    <s v="CO-C"/>
    <d v="2026-03-30T00:00:00"/>
    <x v="1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610"/>
    <s v="3029641117008161"/>
    <s v="1.01.00"/>
    <s v="FP Labor -Billable Cost"/>
    <s v="Labor"/>
    <s v="CO-C"/>
    <d v="2026-03-30T00:00:00"/>
    <x v="13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321"/>
    <s v="3029641411269141"/>
    <s v="1.01.00"/>
    <s v="FP Labor -Billable Cost"/>
    <s v="Labor"/>
    <s v="CO-C"/>
    <d v="2026-03-30T00:00:00"/>
    <x v="13"/>
    <x v="1"/>
    <s v="Employee"/>
    <s v="5"/>
    <s v="ORCL EG"/>
    <s v="502416 - 3WP-EMEA Delivery Middleware - IaaS"/>
    <s v="008U"/>
    <s v="Y"/>
    <s v="Y"/>
    <s v="Unrecognized"/>
    <n v="8"/>
    <s v="AED"/>
    <n v="55.16"/>
    <n v="660.13"/>
    <n v="441.2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52022"/>
    <s v="1530716242:1"/>
    <s v="1.01.00"/>
    <s v="FP Labor -Billable Cost"/>
    <s v="Labor"/>
    <s v="CO-C"/>
    <d v="2026-03-30T00:00:00"/>
    <x v="13"/>
    <x v="5"/>
    <s v="Employee"/>
    <s v="4"/>
    <s v="ORCL IT"/>
    <s v="503896 - 6FT:EMEA OCS Tech Other Delivery"/>
    <s v="0048"/>
    <s v="Y"/>
    <s v="Y"/>
    <s v="Unrecognized"/>
    <n v="8"/>
    <s v="AED"/>
    <n v="255.31"/>
    <n v="542.25"/>
    <n v="2042.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7406"/>
    <s v="1532974274:1"/>
    <s v="1.01.00"/>
    <s v="FP Labor -Billable Cost"/>
    <s v="Labor"/>
    <s v="CO-C"/>
    <d v="2026-03-30T00:00:00"/>
    <x v="13"/>
    <x v="3"/>
    <s v="Employee"/>
    <s v="6"/>
    <s v="ORCL IN OSSI"/>
    <s v="504506 - 94V:GSC-eStudio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457289"/>
    <s v="1532583606:2"/>
    <s v="1.01.00"/>
    <s v="FP Labor -Billable Cost"/>
    <s v="Labor"/>
    <s v="CO-C"/>
    <d v="2026-03-30T00:00:00"/>
    <x v="13"/>
    <x v="4"/>
    <s v="Employee"/>
    <s v="6"/>
    <s v="ORCL PT"/>
    <s v="503896 - 6FT:EMEA OCS Tech Other Delivery"/>
    <s v="0057"/>
    <s v="Y"/>
    <s v="Y"/>
    <s v="Unrecognized"/>
    <n v="4"/>
    <s v="AED"/>
    <n v="301.38"/>
    <n v="754.44"/>
    <n v="1205.5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2162"/>
    <s v="3029640797877331"/>
    <s v="1.01.00"/>
    <s v="FP Labor -Billable Cost"/>
    <s v="Labor"/>
    <s v="CO-C"/>
    <d v="2026-03-31T00:00:00"/>
    <x v="13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3615"/>
    <s v="3029632278309941"/>
    <s v="1.01.00"/>
    <s v="FP Labor -Billable Cost"/>
    <s v="Labor"/>
    <s v="CO-C"/>
    <d v="2026-03-31T00:00:00"/>
    <x v="1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320"/>
    <s v="3029641411269161"/>
    <s v="1.01.00"/>
    <s v="FP Labor -Billable Cost"/>
    <s v="Labor"/>
    <s v="CO-C"/>
    <d v="2026-03-31T00:00:00"/>
    <x v="13"/>
    <x v="1"/>
    <s v="Employee"/>
    <s v="5"/>
    <s v="ORCL EG"/>
    <s v="502416 - 3WP-EMEA Delivery Middleware - IaaS"/>
    <s v="008U"/>
    <s v="Y"/>
    <s v="Y"/>
    <s v="Unrecognized"/>
    <n v="8"/>
    <s v="AED"/>
    <n v="55.16"/>
    <n v="660.13"/>
    <n v="441.2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9686"/>
    <s v="1530716243:1"/>
    <s v="1.01.00"/>
    <s v="FP Labor -Billable Cost"/>
    <s v="Labor"/>
    <s v="CO-C"/>
    <d v="2026-03-31T00:00:00"/>
    <x v="13"/>
    <x v="5"/>
    <s v="Employee"/>
    <s v="4"/>
    <s v="ORCL IT"/>
    <s v="503896 - 6FT:EMEA OCS Tech Other Delivery"/>
    <s v="0048"/>
    <s v="Y"/>
    <s v="Y"/>
    <s v="Unrecognized"/>
    <n v="8"/>
    <s v="AED"/>
    <n v="255.31"/>
    <n v="542.25"/>
    <n v="2042.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18138"/>
    <s v="1532974275:1"/>
    <s v="1.01.00"/>
    <s v="FP Labor -Billable Cost"/>
    <s v="Labor"/>
    <s v="CO-C"/>
    <d v="2026-03-31T00:00:00"/>
    <x v="13"/>
    <x v="3"/>
    <s v="Employee"/>
    <s v="6"/>
    <s v="ORCL IN OSSI"/>
    <s v="504506 - 94V:GSC-eStudio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2173"/>
    <s v="3029640797877361"/>
    <s v="1.01.00"/>
    <s v="FP Labor -Billable Cost"/>
    <s v="Labor"/>
    <s v="CO-C"/>
    <d v="2026-04-01T00:00:00"/>
    <x v="13"/>
    <x v="9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3614"/>
    <s v="3029632278309961"/>
    <s v="1.01.00"/>
    <s v="FP Labor -Billable Cost"/>
    <s v="Labor"/>
    <s v="CO-C"/>
    <d v="2026-04-01T00:00:00"/>
    <x v="13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273"/>
    <s v="3029641411269181"/>
    <s v="1.01.00"/>
    <s v="FP Labor -Billable Cost"/>
    <s v="Labor"/>
    <s v="CO-C"/>
    <d v="2026-04-01T00:00:00"/>
    <x v="13"/>
    <x v="1"/>
    <s v="Employee"/>
    <s v="5"/>
    <s v="ORCL EG"/>
    <s v="502416 - 3WP-EMEA Delivery Middleware - IaaS"/>
    <s v="008U"/>
    <s v="Y"/>
    <s v="Y"/>
    <s v="Unrecognized"/>
    <n v="8"/>
    <s v="AED"/>
    <n v="55.16"/>
    <n v="660.13"/>
    <n v="441.2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9744"/>
    <s v="1530716244:1"/>
    <s v="1.01.00"/>
    <s v="FP Labor -Billable Cost"/>
    <s v="Labor"/>
    <s v="CO-C"/>
    <d v="2026-04-01T00:00:00"/>
    <x v="13"/>
    <x v="5"/>
    <s v="Employee"/>
    <s v="4"/>
    <s v="ORCL IT"/>
    <s v="503896 - 6FT:EMEA OCS Tech Other Delivery"/>
    <s v="0048"/>
    <s v="Y"/>
    <s v="Y"/>
    <s v="Unrecognized"/>
    <n v="8"/>
    <s v="AED"/>
    <n v="255.31"/>
    <n v="542.25"/>
    <n v="2042.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54986"/>
    <s v="1532974276:1"/>
    <s v="1.01.00"/>
    <s v="FP Labor -Billable Cost"/>
    <s v="Labor"/>
    <s v="CO-C"/>
    <d v="2026-04-01T00:00:00"/>
    <x v="13"/>
    <x v="3"/>
    <s v="Employee"/>
    <s v="6"/>
    <s v="ORCL IN OSSI"/>
    <s v="504506 - 94V:GSC-eStudio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457227"/>
    <s v="1534190870:1"/>
    <s v="1.01.00"/>
    <s v="FP Labor -Billable Cost"/>
    <s v="Labor"/>
    <s v="CO-C"/>
    <d v="2026-04-01T00:00:00"/>
    <x v="13"/>
    <x v="4"/>
    <s v="Employee"/>
    <s v="6"/>
    <s v="ORCL PT"/>
    <s v="503896 - 6FT:EMEA OCS Tech Other Delivery"/>
    <s v="0057"/>
    <s v="Y"/>
    <s v="Y"/>
    <s v="Unrecognized"/>
    <n v="4"/>
    <s v="AED"/>
    <n v="301.38"/>
    <n v="754.44"/>
    <n v="1205.5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2172"/>
    <s v="3029640797877391"/>
    <s v="1.01.00"/>
    <s v="FP Labor -Billable Cost"/>
    <s v="Labor"/>
    <s v="CO-C"/>
    <d v="2026-04-02T00:00:00"/>
    <x v="13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3613"/>
    <s v="3029632278309982"/>
    <s v="1.01.00"/>
    <s v="FP Labor -Billable Cost"/>
    <s v="Labor"/>
    <s v="CO-C"/>
    <d v="2026-04-02T00:00:00"/>
    <x v="13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272"/>
    <s v="3029641411269201"/>
    <s v="1.01.00"/>
    <s v="FP Labor -Billable Cost"/>
    <s v="Labor"/>
    <s v="CO-C"/>
    <d v="2026-04-02T00:00:00"/>
    <x v="13"/>
    <x v="1"/>
    <s v="Employee"/>
    <s v="5"/>
    <s v="ORCL EG"/>
    <s v="502416 - 3WP-EMEA Delivery Middleware - IaaS"/>
    <s v="008U"/>
    <s v="Y"/>
    <s v="Y"/>
    <s v="Unrecognized"/>
    <n v="8"/>
    <s v="AED"/>
    <n v="55.16"/>
    <n v="660.13"/>
    <n v="441.2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49697"/>
    <s v="1530716245:1"/>
    <s v="1.01.00"/>
    <s v="FP Labor -Billable Cost"/>
    <s v="Labor"/>
    <s v="CO-C"/>
    <d v="2026-04-02T00:00:00"/>
    <x v="13"/>
    <x v="5"/>
    <s v="Employee"/>
    <s v="4"/>
    <s v="ORCL IT"/>
    <s v="503896 - 6FT:EMEA OCS Tech Other Delivery"/>
    <s v="0048"/>
    <s v="Y"/>
    <s v="Y"/>
    <s v="Unrecognized"/>
    <n v="8"/>
    <s v="AED"/>
    <n v="255.31"/>
    <n v="542.25"/>
    <n v="2042.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3018"/>
    <s v="1532974277:1"/>
    <s v="1.01.00"/>
    <s v="FP Labor -Billable Cost"/>
    <s v="Labor"/>
    <s v="CO-C"/>
    <d v="2026-04-02T00:00:00"/>
    <x v="13"/>
    <x v="3"/>
    <s v="Employee"/>
    <s v="6"/>
    <s v="ORCL IN OSSI"/>
    <s v="504506 - 94V:GSC-eStudio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73652"/>
    <s v="3029639223672701"/>
    <s v="1.01.00"/>
    <s v="FP Labor -Billable Cost"/>
    <s v="Labor"/>
    <s v="CO-C"/>
    <d v="2026-04-02T00:00:00"/>
    <x v="13"/>
    <x v="6"/>
    <s v="Employee"/>
    <s v="7"/>
    <s v="ORCL CY"/>
    <s v="503896 - 6FT:EMEA OCS Tech Other Delivery"/>
    <s v="010K"/>
    <s v="Y"/>
    <s v="Y"/>
    <s v="Unrecognized"/>
    <n v="8"/>
    <s v="AED"/>
    <n v="267.45"/>
    <n v="813.38"/>
    <n v="2139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00932"/>
    <s v="1530716246:1"/>
    <s v="1.01.00"/>
    <s v="FP Labor -Billable Cost"/>
    <s v="Labor"/>
    <s v="CO-C"/>
    <d v="2026-04-03T00:00:00"/>
    <x v="13"/>
    <x v="5"/>
    <s v="Employee"/>
    <s v="4"/>
    <s v="ORCL IT"/>
    <s v="503896 - 6FT:EMEA OCS Tech Other Delivery"/>
    <s v="0048"/>
    <s v="Y"/>
    <s v="Y"/>
    <s v="Unrecognized"/>
    <n v="8"/>
    <s v="AED"/>
    <n v="255.31"/>
    <n v="542.25"/>
    <n v="2042.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4581"/>
    <s v="1532974278:1"/>
    <s v="1.01.00"/>
    <s v="FP Labor -Billable Cost"/>
    <s v="Labor"/>
    <s v="CO-C"/>
    <d v="2026-04-03T00:00:00"/>
    <x v="13"/>
    <x v="3"/>
    <s v="Employee"/>
    <s v="6"/>
    <s v="ORCL IN OSSI"/>
    <s v="504506 - 94V:GSC-eStudio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00729"/>
    <s v="3029639223672721"/>
    <s v="1.01.00"/>
    <s v="FP Labor -Billable Cost"/>
    <s v="Labor"/>
    <s v="CO-C"/>
    <d v="2026-04-03T00:00:00"/>
    <x v="13"/>
    <x v="6"/>
    <s v="Employee"/>
    <s v="7"/>
    <s v="ORCL CY"/>
    <s v="503896 - 6FT:EMEA OCS Tech Other Delivery"/>
    <s v="010K"/>
    <s v="Y"/>
    <s v="Y"/>
    <s v="Unrecognized"/>
    <n v="8"/>
    <s v="AED"/>
    <n v="267.45"/>
    <n v="813.38"/>
    <n v="2139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85509"/>
    <s v="3029641115610391"/>
    <s v="1.01.00"/>
    <s v="FP Labor -Billable Cost"/>
    <s v="Labor"/>
    <s v="CO-C"/>
    <d v="2026-04-05T00:00:00"/>
    <x v="14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85469"/>
    <s v="3029641411296571"/>
    <s v="1.01.00"/>
    <s v="FP Labor -Billable Cost"/>
    <s v="Labor"/>
    <s v="CO-C"/>
    <d v="2026-04-05T00:00:00"/>
    <x v="14"/>
    <x v="1"/>
    <s v="Employee"/>
    <s v="5"/>
    <s v="ORCL EG"/>
    <s v="502416 - 3WP-EMEA Delivery Middleware - IaaS"/>
    <s v="008U"/>
    <s v="Y"/>
    <s v="Y"/>
    <s v="Unrecognized"/>
    <n v="8"/>
    <s v="AED"/>
    <n v="55.16"/>
    <n v="660.13"/>
    <n v="441.2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5302"/>
    <s v="3029640797370161"/>
    <s v="1.01.00"/>
    <s v="FP Labor -Billable Cost"/>
    <s v="Labor"/>
    <s v="CO-C"/>
    <d v="2026-04-06T00:00:00"/>
    <x v="14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5340"/>
    <s v="3029632279950691"/>
    <s v="1.01.00"/>
    <s v="FP Labor -Billable Cost"/>
    <s v="Labor"/>
    <s v="CO-C"/>
    <d v="2026-04-06T00:00:00"/>
    <x v="1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90817"/>
    <s v="3029641115610411"/>
    <s v="1.01.00"/>
    <s v="FP Labor -Billable Cost"/>
    <s v="Labor"/>
    <s v="CO-C"/>
    <d v="2026-04-06T00:00:00"/>
    <x v="14"/>
    <x v="8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90790"/>
    <s v="3029641411296591"/>
    <s v="1.01.00"/>
    <s v="FP Labor -Billable Cost"/>
    <s v="Labor"/>
    <s v="CO-C"/>
    <d v="2026-04-06T00:00:00"/>
    <x v="14"/>
    <x v="1"/>
    <s v="Employee"/>
    <s v="5"/>
    <s v="ORCL EG"/>
    <s v="502416 - 3WP-EMEA Delivery Middleware - IaaS"/>
    <s v="008U"/>
    <s v="Y"/>
    <s v="Y"/>
    <s v="Unrecognized"/>
    <n v="8"/>
    <s v="AED"/>
    <n v="55.16"/>
    <n v="660.13"/>
    <n v="441.2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4498"/>
    <s v="1532974292:1"/>
    <s v="1.01.00"/>
    <s v="FP Labor -Billable Cost"/>
    <s v="Labor"/>
    <s v="CO-C"/>
    <d v="2026-04-06T00:00:00"/>
    <x v="14"/>
    <x v="3"/>
    <s v="Employee"/>
    <s v="6"/>
    <s v="ORCL IN OSSI"/>
    <s v="504506 - 94V:GSC-eStudio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52954"/>
    <s v="1532583659:1"/>
    <s v="1.01.00"/>
    <s v="FP Labor -Billable Cost"/>
    <s v="Labor"/>
    <s v="CO-C"/>
    <d v="2026-04-06T00:00:00"/>
    <x v="14"/>
    <x v="4"/>
    <s v="Employee"/>
    <s v="6"/>
    <s v="ORCL PT"/>
    <s v="503896 - 6FT:EMEA OCS Tech Other Delivery"/>
    <s v="0057"/>
    <s v="Y"/>
    <s v="Y"/>
    <s v="Unrecognized"/>
    <n v="8"/>
    <s v="AED"/>
    <n v="301.38"/>
    <n v="754.44"/>
    <n v="241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48806"/>
    <s v="3029640797370191"/>
    <s v="1.01.00"/>
    <s v="FP Labor -Billable Cost"/>
    <s v="Labor"/>
    <s v="CO-C"/>
    <d v="2026-04-07T00:00:00"/>
    <x v="14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48793"/>
    <s v="3029632279950711"/>
    <s v="1.01.00"/>
    <s v="FP Labor -Billable Cost"/>
    <s v="Labor"/>
    <s v="CO-C"/>
    <d v="2026-04-07T00:00:00"/>
    <x v="1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32334"/>
    <s v="3029641411296611"/>
    <s v="1.01.00"/>
    <s v="FP Labor -Billable Cost"/>
    <s v="Labor"/>
    <s v="CO-C"/>
    <d v="2026-04-07T00:00:00"/>
    <x v="14"/>
    <x v="1"/>
    <s v="Employee"/>
    <s v="5"/>
    <s v="ORCL EG"/>
    <s v="502416 - 3WP-EMEA Delivery Middleware - IaaS"/>
    <s v="008U"/>
    <s v="Y"/>
    <s v="Y"/>
    <s v="Unrecognized"/>
    <n v="8"/>
    <s v="AED"/>
    <n v="53.44"/>
    <n v="660.13"/>
    <n v="427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44697"/>
    <s v="1531957065:1"/>
    <s v="1.01.00"/>
    <s v="FP Labor -Billable Cost"/>
    <s v="Labor"/>
    <s v="CO-C"/>
    <d v="2026-04-07T00:00:00"/>
    <x v="14"/>
    <x v="5"/>
    <s v="Employee"/>
    <s v="5"/>
    <s v="ORCL IT"/>
    <s v="503896 - 6FT:EMEA OCS Tech Other Delivery"/>
    <s v="0048"/>
    <s v="Y"/>
    <s v="Y"/>
    <s v="Unrecognized"/>
    <n v="8"/>
    <s v="AED"/>
    <n v="255.91"/>
    <n v="660.13"/>
    <n v="2047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5141"/>
    <s v="1532974293:1"/>
    <s v="1.01.00"/>
    <s v="FP Labor -Billable Cost"/>
    <s v="Labor"/>
    <s v="CO-C"/>
    <d v="2026-04-07T00:00:00"/>
    <x v="14"/>
    <x v="3"/>
    <s v="Employee"/>
    <s v="6"/>
    <s v="ORCL IN OSSI"/>
    <s v="504506 - 94V:GSC-eStudio"/>
    <s v="09B4"/>
    <s v="Y"/>
    <s v="Y"/>
    <s v="Unrecognized"/>
    <n v="8"/>
    <s v="AED"/>
    <n v="110.86"/>
    <n v="754.44"/>
    <n v="886.9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6891"/>
    <s v="3029640797370221"/>
    <s v="1.01.00"/>
    <s v="FP Labor -Billable Cost"/>
    <s v="Labor"/>
    <s v="CO-C"/>
    <d v="2026-04-08T00:00:00"/>
    <x v="14"/>
    <x v="9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6880"/>
    <s v="3029632279950731"/>
    <s v="1.01.00"/>
    <s v="FP Labor -Billable Cost"/>
    <s v="Labor"/>
    <s v="CO-C"/>
    <d v="2026-04-08T00:00:00"/>
    <x v="14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6604"/>
    <s v="3029641411296631"/>
    <s v="1.01.00"/>
    <s v="FP Labor -Billable Cost"/>
    <s v="Labor"/>
    <s v="CO-C"/>
    <d v="2026-04-08T00:00:00"/>
    <x v="14"/>
    <x v="1"/>
    <s v="Employee"/>
    <s v="5"/>
    <s v="ORCL EG"/>
    <s v="502416 - 3WP-EMEA Delivery Middleware - IaaS"/>
    <s v="008U"/>
    <s v="Y"/>
    <s v="Y"/>
    <s v="Unrecognized"/>
    <n v="8"/>
    <s v="AED"/>
    <n v="53.28"/>
    <n v="660.13"/>
    <n v="426.2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06131"/>
    <s v="1531957066:1"/>
    <s v="1.01.00"/>
    <s v="FP Labor -Billable Cost"/>
    <s v="Labor"/>
    <s v="CO-C"/>
    <d v="2026-04-08T00:00:00"/>
    <x v="14"/>
    <x v="5"/>
    <s v="Employee"/>
    <s v="5"/>
    <s v="ORCL IT"/>
    <s v="503896 - 6FT:EMEA OCS Tech Other Delivery"/>
    <s v="0048"/>
    <s v="Y"/>
    <s v="Y"/>
    <s v="Unrecognized"/>
    <n v="8"/>
    <s v="AED"/>
    <n v="258.58999999999997"/>
    <n v="660.13"/>
    <n v="2068.7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2121"/>
    <s v="1532974294:1"/>
    <s v="1.01.00"/>
    <s v="FP Labor -Billable Cost"/>
    <s v="Labor"/>
    <s v="CO-C"/>
    <d v="2026-04-08T00:00:00"/>
    <x v="14"/>
    <x v="3"/>
    <s v="Employee"/>
    <s v="6"/>
    <s v="ORCL IN OSSI"/>
    <s v="504506 - 94V:GSC-eStudio"/>
    <s v="09B4"/>
    <s v="Y"/>
    <s v="Y"/>
    <s v="Unrecognized"/>
    <n v="8"/>
    <s v="AED"/>
    <n v="110.94"/>
    <n v="754.44"/>
    <n v="887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020381"/>
    <s v="1535064047:1"/>
    <s v="1.01.00"/>
    <s v="FP Labor -Billable Cost"/>
    <s v="Labor"/>
    <s v="CO-C"/>
    <d v="2026-04-08T00:00:00"/>
    <x v="14"/>
    <x v="4"/>
    <s v="Employee"/>
    <s v="6"/>
    <s v="ORCL PT"/>
    <s v="503896 - 6FT:EMEA OCS Tech Other Delivery"/>
    <s v="0057"/>
    <s v="Y"/>
    <s v="Y"/>
    <s v="Unrecognized"/>
    <n v="4"/>
    <s v="AED"/>
    <n v="305.25"/>
    <n v="754.44"/>
    <n v="1220.98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52840"/>
    <s v="3029640797370251"/>
    <s v="1.01.00"/>
    <s v="FP Labor -Billable Cost"/>
    <s v="Labor"/>
    <s v="CO-C"/>
    <d v="2026-04-09T00:00:00"/>
    <x v="14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52837"/>
    <s v="3029632279950752"/>
    <s v="1.01.00"/>
    <s v="FP Labor -Billable Cost"/>
    <s v="Labor"/>
    <s v="CO-C"/>
    <d v="2026-04-09T00:00:00"/>
    <x v="14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80550"/>
    <s v="3029641411296651"/>
    <s v="1.01.00"/>
    <s v="FP Labor -Billable Cost"/>
    <s v="Labor"/>
    <s v="CO-C"/>
    <d v="2026-04-09T00:00:00"/>
    <x v="14"/>
    <x v="1"/>
    <s v="Employee"/>
    <s v="5"/>
    <s v="ORCL EG"/>
    <s v="502416 - 3WP-EMEA Delivery Middleware - IaaS"/>
    <s v="008U"/>
    <s v="Y"/>
    <s v="Y"/>
    <s v="Unrecognized"/>
    <n v="8"/>
    <s v="AED"/>
    <n v="54.56"/>
    <n v="660.13"/>
    <n v="436.4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85885"/>
    <s v="1531957067:1"/>
    <s v="1.01.00"/>
    <s v="FP Labor -Billable Cost"/>
    <s v="Labor"/>
    <s v="CO-C"/>
    <d v="2026-04-09T00:00:00"/>
    <x v="14"/>
    <x v="5"/>
    <s v="Employee"/>
    <s v="5"/>
    <s v="ORCL IT"/>
    <s v="503896 - 6FT:EMEA OCS Tech Other Delivery"/>
    <s v="0048"/>
    <s v="Y"/>
    <s v="Y"/>
    <s v="Unrecognized"/>
    <n v="8"/>
    <s v="AED"/>
    <n v="258.55"/>
    <n v="660.13"/>
    <n v="2068.3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68122"/>
    <s v="1532974295:1"/>
    <s v="1.01.00"/>
    <s v="FP Labor -Billable Cost"/>
    <s v="Labor"/>
    <s v="CO-C"/>
    <d v="2026-04-09T00:00:00"/>
    <x v="14"/>
    <x v="3"/>
    <s v="Employee"/>
    <s v="6"/>
    <s v="ORCL IN OSSI"/>
    <s v="504506 - 94V:GSC-eStudio"/>
    <s v="09B4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61083"/>
    <s v="3029639223260441"/>
    <s v="1.01.00"/>
    <s v="FP Labor -Billable Cost"/>
    <s v="Labor"/>
    <s v="CO-C"/>
    <d v="2026-04-09T00:00:00"/>
    <x v="14"/>
    <x v="6"/>
    <s v="Employee"/>
    <s v="7"/>
    <s v="ORCL CY"/>
    <s v="503896 - 6FT:EMEA OCS Tech Other Delivery"/>
    <s v="010K"/>
    <s v="Y"/>
    <s v="Y"/>
    <s v="Unrecognized"/>
    <n v="8"/>
    <s v="AED"/>
    <n v="270.83999999999997"/>
    <n v="813.38"/>
    <n v="2166.7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67935"/>
    <s v="1531957068:1"/>
    <s v="1.01.00"/>
    <s v="FP Labor -Billable Cost"/>
    <s v="Labor"/>
    <s v="CO-C"/>
    <d v="2026-04-10T00:00:00"/>
    <x v="14"/>
    <x v="5"/>
    <s v="Employee"/>
    <s v="5"/>
    <s v="ORCL IT"/>
    <s v="503896 - 6FT:EMEA OCS Tech Other Delivery"/>
    <s v="0048"/>
    <s v="Y"/>
    <s v="Y"/>
    <s v="Unrecognized"/>
    <n v="8"/>
    <s v="AED"/>
    <n v="258.55"/>
    <n v="660.13"/>
    <n v="2068.3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3377"/>
    <s v="1532974296:1"/>
    <s v="1.01.00"/>
    <s v="FP Labor -Billable Cost"/>
    <s v="Labor"/>
    <s v="CO-C"/>
    <d v="2026-04-10T00:00:00"/>
    <x v="14"/>
    <x v="3"/>
    <s v="Employee"/>
    <s v="6"/>
    <s v="ORCL IN OSSI"/>
    <s v="504506 - 94V:GSC-eStudio"/>
    <s v="09B4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47642"/>
    <s v="3029639223260461"/>
    <s v="1.01.00"/>
    <s v="FP Labor -Billable Cost"/>
    <s v="Labor"/>
    <s v="CO-C"/>
    <d v="2026-04-10T00:00:00"/>
    <x v="14"/>
    <x v="6"/>
    <s v="Employee"/>
    <s v="7"/>
    <s v="ORCL CY"/>
    <s v="503896 - 6FT:EMEA OCS Tech Other Delivery"/>
    <s v="010K"/>
    <s v="Y"/>
    <s v="Y"/>
    <s v="Unrecognized"/>
    <n v="8"/>
    <s v="AED"/>
    <n v="270.83999999999997"/>
    <n v="813.38"/>
    <n v="2166.7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86873"/>
    <s v="3029641123643991"/>
    <s v="1.01.00"/>
    <s v="FP Labor -Billable Cost"/>
    <s v="Labor"/>
    <s v="CO-C"/>
    <d v="2026-04-12T00:00:00"/>
    <x v="15"/>
    <x v="8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86863"/>
    <s v="3029641413361041"/>
    <s v="1.01.00"/>
    <s v="FP Labor -Billable Cost"/>
    <s v="Labor"/>
    <s v="CO-C"/>
    <d v="2026-04-12T00:00:00"/>
    <x v="15"/>
    <x v="1"/>
    <s v="Employee"/>
    <s v="5"/>
    <s v="ORCL EG"/>
    <s v="502416 - 3WP-EMEA Delivery Middleware - IaaS"/>
    <s v="008U"/>
    <s v="Y"/>
    <s v="Y"/>
    <s v="Unrecognized"/>
    <n v="8"/>
    <s v="AED"/>
    <n v="54.75"/>
    <n v="660.13"/>
    <n v="437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4014"/>
    <s v="3029640798460531"/>
    <s v="1.01.00"/>
    <s v="FP Labor -Billable Cost"/>
    <s v="Labor"/>
    <s v="CO-C"/>
    <d v="2026-04-13T00:00:00"/>
    <x v="15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4026"/>
    <s v="3029632281431631"/>
    <s v="1.01.00"/>
    <s v="FP Labor -Billable Cost"/>
    <s v="Labor"/>
    <s v="CO-C"/>
    <d v="2026-04-13T00:00:00"/>
    <x v="1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71807"/>
    <s v="3029641123644011"/>
    <s v="1.01.00"/>
    <s v="FP Labor -Billable Cost"/>
    <s v="Labor"/>
    <s v="CO-C"/>
    <d v="2026-04-13T00:00:00"/>
    <x v="15"/>
    <x v="8"/>
    <s v="Billable Contractor"/>
    <m/>
    <s v="ORCL EG"/>
    <s v="509485 - 73M: EMEA Business Analytics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71790"/>
    <s v="3029641413361061"/>
    <s v="1.01.00"/>
    <s v="FP Labor -Billable Cost"/>
    <s v="Labor"/>
    <s v="CO-C"/>
    <d v="2026-04-13T00:00:00"/>
    <x v="15"/>
    <x v="1"/>
    <s v="Employee"/>
    <s v="5"/>
    <s v="ORCL EG"/>
    <s v="502416 - 3WP-EMEA Delivery Middleware - IaaS"/>
    <s v="008U"/>
    <s v="Y"/>
    <s v="Y"/>
    <s v="Unrecognized"/>
    <n v="8"/>
    <s v="AED"/>
    <n v="54.75"/>
    <n v="660.13"/>
    <n v="437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3102"/>
    <s v="1531957100:1"/>
    <s v="1.01.00"/>
    <s v="FP Labor -Billable Cost"/>
    <s v="Labor"/>
    <s v="CO-C"/>
    <d v="2026-04-13T00:00:00"/>
    <x v="15"/>
    <x v="5"/>
    <s v="Employee"/>
    <s v="5"/>
    <s v="ORCL IT"/>
    <s v="503896 - 6FT:EMEA OCS Tech Other Delivery"/>
    <s v="0048"/>
    <s v="Y"/>
    <s v="Y"/>
    <s v="Unrecognized"/>
    <n v="8"/>
    <s v="AED"/>
    <n v="259.88"/>
    <n v="660.13"/>
    <n v="2079.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1948"/>
    <s v="1532974309:1"/>
    <s v="1.01.00"/>
    <s v="FP Labor -Billable Cost"/>
    <s v="Labor"/>
    <s v="CO-C"/>
    <d v="2026-04-13T00:00:00"/>
    <x v="15"/>
    <x v="3"/>
    <s v="Employee"/>
    <s v="6"/>
    <s v="ORCL IN OSSI"/>
    <s v="504506 - 94V:GSC-eStudio"/>
    <s v="09B4"/>
    <s v="Y"/>
    <s v="Y"/>
    <s v="Unrecognized"/>
    <n v="8"/>
    <s v="AED"/>
    <n v="111.26"/>
    <n v="754.44"/>
    <n v="89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7286"/>
    <s v="1532583751:1"/>
    <s v="1.01.00"/>
    <s v="FP Labor -Billable Cost"/>
    <s v="Labor"/>
    <s v="CO-C"/>
    <d v="2026-04-13T00:00:00"/>
    <x v="15"/>
    <x v="4"/>
    <s v="Employee"/>
    <s v="6"/>
    <s v="ORCL PT"/>
    <s v="503896 - 6FT:EMEA OCS Tech Other Delivery"/>
    <s v="0057"/>
    <s v="Y"/>
    <s v="Y"/>
    <s v="Unrecognized"/>
    <n v="8"/>
    <s v="AED"/>
    <n v="306.76"/>
    <n v="754.44"/>
    <n v="2454.1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2959"/>
    <s v="3029640798460561"/>
    <s v="1.01.00"/>
    <s v="FP Labor -Billable Cost"/>
    <s v="Labor"/>
    <s v="CO-C"/>
    <d v="2026-04-14T00:00:00"/>
    <x v="15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2991"/>
    <s v="3029632281431651"/>
    <s v="1.01.00"/>
    <s v="FP Labor -Billable Cost"/>
    <s v="Labor"/>
    <s v="CO-C"/>
    <d v="2026-04-14T00:00:00"/>
    <x v="1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64342"/>
    <s v="1531957101:1"/>
    <s v="1.01.00"/>
    <s v="FP Labor -Billable Cost"/>
    <s v="Labor"/>
    <s v="CO-C"/>
    <d v="2026-04-14T00:00:00"/>
    <x v="15"/>
    <x v="5"/>
    <s v="Employee"/>
    <s v="5"/>
    <s v="ORCL IT"/>
    <s v="503896 - 6FT:EMEA OCS Tech Other Delivery"/>
    <s v="0048"/>
    <s v="Y"/>
    <s v="Y"/>
    <s v="Unrecognized"/>
    <n v="8"/>
    <s v="AED"/>
    <n v="260.72000000000003"/>
    <n v="660.13"/>
    <n v="2085.76000000000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7182"/>
    <s v="1532974310:1"/>
    <s v="1.01.00"/>
    <s v="FP Labor -Billable Cost"/>
    <s v="Labor"/>
    <s v="CO-C"/>
    <d v="2026-04-14T00:00:00"/>
    <x v="15"/>
    <x v="3"/>
    <s v="Employee"/>
    <s v="6"/>
    <s v="ORCL IN OSSI"/>
    <s v="504506 - 94V:GSC-eStudio"/>
    <s v="09B4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95354"/>
    <s v="3029640798460591"/>
    <s v="1.01.00"/>
    <s v="FP Labor -Billable Cost"/>
    <s v="Labor"/>
    <s v="CO-C"/>
    <d v="2026-04-15T00:00:00"/>
    <x v="15"/>
    <x v="9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95361"/>
    <s v="3029632281431671"/>
    <s v="1.01.00"/>
    <s v="FP Labor -Billable Cost"/>
    <s v="Labor"/>
    <s v="CO-C"/>
    <d v="2026-04-15T00:00:00"/>
    <x v="1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74077"/>
    <s v="1531957102:1"/>
    <s v="1.01.00"/>
    <s v="FP Labor -Billable Cost"/>
    <s v="Labor"/>
    <s v="CO-C"/>
    <d v="2026-04-15T00:00:00"/>
    <x v="15"/>
    <x v="5"/>
    <s v="Employee"/>
    <s v="5"/>
    <s v="ORCL IT"/>
    <s v="503896 - 6FT:EMEA OCS Tech Other Delivery"/>
    <s v="0048"/>
    <s v="Y"/>
    <s v="Y"/>
    <s v="Unrecognized"/>
    <n v="8"/>
    <s v="AED"/>
    <n v="261.44"/>
    <n v="660.13"/>
    <n v="2091.5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6172"/>
    <s v="1532974311:1"/>
    <s v="1.01.00"/>
    <s v="FP Labor -Billable Cost"/>
    <s v="Labor"/>
    <s v="CO-C"/>
    <d v="2026-04-15T00:00:00"/>
    <x v="15"/>
    <x v="3"/>
    <s v="Employee"/>
    <s v="6"/>
    <s v="ORCL IN OSSI"/>
    <s v="504506 - 94V:GSC-eStudio"/>
    <s v="09B4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17328"/>
    <s v="3029640798460621"/>
    <s v="1.01.00"/>
    <s v="FP Labor -Billable Cost"/>
    <s v="Labor"/>
    <s v="CO-C"/>
    <d v="2026-04-16T00:00:00"/>
    <x v="15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17346"/>
    <s v="3029632281431692"/>
    <s v="1.01.00"/>
    <s v="FP Labor -Billable Cost"/>
    <s v="Labor"/>
    <s v="CO-C"/>
    <d v="2026-04-16T00:00:00"/>
    <x v="15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18076"/>
    <s v="1531957103:1"/>
    <s v="1.01.00"/>
    <s v="FP Labor -Billable Cost"/>
    <s v="Labor"/>
    <s v="CO-C"/>
    <d v="2026-04-16T00:00:00"/>
    <x v="15"/>
    <x v="5"/>
    <s v="Employee"/>
    <s v="5"/>
    <s v="ORCL IT"/>
    <s v="503896 - 6FT:EMEA OCS Tech Other Delivery"/>
    <s v="0048"/>
    <s v="Y"/>
    <s v="Y"/>
    <s v="Unrecognized"/>
    <n v="8"/>
    <s v="AED"/>
    <n v="261.67"/>
    <n v="660.13"/>
    <n v="2093.3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12955"/>
    <s v="1532974312:1"/>
    <s v="1.01.00"/>
    <s v="FP Labor -Billable Cost"/>
    <s v="Labor"/>
    <s v="CO-C"/>
    <d v="2026-04-16T00:00:00"/>
    <x v="15"/>
    <x v="3"/>
    <s v="Employee"/>
    <s v="6"/>
    <s v="ORCL IN OSSI"/>
    <s v="504506 - 94V:GSC-eStudio"/>
    <s v="09B4"/>
    <s v="Y"/>
    <s v="Y"/>
    <s v="Unrecognized"/>
    <n v="8"/>
    <s v="AED"/>
    <n v="110.49"/>
    <n v="754.44"/>
    <n v="883.9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83687"/>
    <s v="3029639222747391"/>
    <s v="1.01.00"/>
    <s v="FP Labor -Billable Cost"/>
    <s v="Labor"/>
    <s v="CO-C"/>
    <d v="2026-04-16T00:00:00"/>
    <x v="15"/>
    <x v="6"/>
    <s v="Employee"/>
    <s v="7"/>
    <s v="ORCL CY"/>
    <s v="503896 - 6FT:EMEA OCS Tech Other Delivery"/>
    <s v="010K"/>
    <s v="Y"/>
    <s v="Y"/>
    <s v="Unrecognized"/>
    <n v="8"/>
    <s v="AED"/>
    <n v="274.12"/>
    <n v="813.38"/>
    <n v="2192.9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504271"/>
    <s v="1531957104:1"/>
    <s v="1.01.00"/>
    <s v="FP Labor -Billable Cost"/>
    <s v="Labor"/>
    <s v="CO-C"/>
    <d v="2026-04-17T00:00:00"/>
    <x v="15"/>
    <x v="5"/>
    <s v="Employee"/>
    <s v="5"/>
    <s v="ORCL IT"/>
    <s v="503896 - 6FT:EMEA OCS Tech Other Delivery"/>
    <s v="0048"/>
    <s v="Y"/>
    <s v="Y"/>
    <s v="Unrecognized"/>
    <n v="8"/>
    <s v="AED"/>
    <n v="261.25"/>
    <n v="660.13"/>
    <n v="2090.01000000000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41030"/>
    <s v="1532974313:1"/>
    <s v="1.01.00"/>
    <s v="FP Labor -Billable Cost"/>
    <s v="Labor"/>
    <s v="CO-C"/>
    <d v="2026-04-17T00:00:00"/>
    <x v="15"/>
    <x v="3"/>
    <s v="Employee"/>
    <s v="6"/>
    <s v="ORCL IN OSSI"/>
    <s v="504506 - 94V:GSC-eStudio"/>
    <s v="09B4"/>
    <s v="Y"/>
    <s v="Y"/>
    <s v="Unrecognized"/>
    <n v="8"/>
    <s v="AED"/>
    <n v="110.7"/>
    <n v="754.44"/>
    <n v="885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502452"/>
    <s v="3029639222747411"/>
    <s v="1.01.00"/>
    <s v="FP Labor -Billable Cost"/>
    <s v="Labor"/>
    <s v="CO-C"/>
    <d v="2026-04-17T00:00:00"/>
    <x v="15"/>
    <x v="6"/>
    <s v="Employee"/>
    <s v="7"/>
    <s v="ORCL CY"/>
    <s v="503896 - 6FT:EMEA OCS Tech Other Delivery"/>
    <s v="010K"/>
    <s v="Y"/>
    <s v="Y"/>
    <s v="Unrecognized"/>
    <n v="8"/>
    <s v="AED"/>
    <n v="273.67"/>
    <n v="813.38"/>
    <n v="2189.3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699151"/>
    <s v="3029641123609911"/>
    <s v="1.01.00"/>
    <s v="FP Labor -Billable Cost"/>
    <s v="Labor"/>
    <s v="CO-C"/>
    <d v="2026-04-19T00:00:00"/>
    <x v="16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18127"/>
    <s v="3029640801244461"/>
    <s v="1.01.00"/>
    <s v="FP Labor -Billable Cost"/>
    <s v="Labor"/>
    <s v="CO-C"/>
    <d v="2026-04-20T00:00:00"/>
    <x v="16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18135"/>
    <s v="3029632283277921"/>
    <s v="1.01.00"/>
    <s v="FP Labor -Billable Cost"/>
    <s v="Labor"/>
    <s v="CO-C"/>
    <d v="2026-04-20T00:00:00"/>
    <x v="1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15609"/>
    <s v="3029641123609931"/>
    <s v="1.01.00"/>
    <s v="FP Labor -Billable Cost"/>
    <s v="Labor"/>
    <s v="CO-C"/>
    <d v="2026-04-20T00:00:00"/>
    <x v="16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19986"/>
    <s v="1531957138:1"/>
    <s v="1.01.00"/>
    <s v="FP Labor -Billable Cost"/>
    <s v="Labor"/>
    <s v="CO-C"/>
    <d v="2026-04-20T00:00:00"/>
    <x v="16"/>
    <x v="5"/>
    <s v="Employee"/>
    <s v="5"/>
    <s v="ORCL IT"/>
    <s v="503896 - 6FT:EMEA OCS Tech Other Delivery"/>
    <s v="0048"/>
    <s v="Y"/>
    <s v="Y"/>
    <s v="Unrecognized"/>
    <n v="8"/>
    <s v="AED"/>
    <n v="260.79000000000002"/>
    <n v="660.13"/>
    <n v="2086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5246"/>
    <s v="1532974359:1"/>
    <s v="1.01.00"/>
    <s v="FP Labor -Billable Cost"/>
    <s v="Labor"/>
    <s v="CO-C"/>
    <d v="2026-04-20T00:00:00"/>
    <x v="16"/>
    <x v="3"/>
    <s v="Employee"/>
    <s v="6"/>
    <s v="ORCL IN OSSI"/>
    <s v="504506 - 94V:GSC-eStudio"/>
    <s v="09B4"/>
    <s v="Y"/>
    <s v="Y"/>
    <s v="Unrecognized"/>
    <n v="8"/>
    <s v="AED"/>
    <n v="111.03"/>
    <n v="754.44"/>
    <n v="888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13680"/>
    <s v="1532583780:2"/>
    <s v="1.01.00"/>
    <s v="FP Labor -Billable Cost"/>
    <s v="Labor"/>
    <s v="CO-C"/>
    <d v="2026-04-20T00:00:00"/>
    <x v="16"/>
    <x v="4"/>
    <s v="Employee"/>
    <s v="6"/>
    <s v="ORCL PT"/>
    <s v="503896 - 6FT:EMEA OCS Tech Other Delivery"/>
    <s v="0057"/>
    <s v="Y"/>
    <s v="Y"/>
    <s v="Unrecognized"/>
    <n v="4"/>
    <s v="AED"/>
    <n v="307.83999999999997"/>
    <n v="754.44"/>
    <n v="1231.3499999999999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96083"/>
    <s v="3029640801244491"/>
    <s v="1.01.00"/>
    <s v="FP Labor -Billable Cost"/>
    <s v="Labor"/>
    <s v="CO-C"/>
    <d v="2026-04-21T00:00:00"/>
    <x v="16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96096"/>
    <s v="3029632283277941"/>
    <s v="1.01.00"/>
    <s v="FP Labor -Billable Cost"/>
    <s v="Labor"/>
    <s v="CO-C"/>
    <d v="2026-04-21T00:00:00"/>
    <x v="1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81153"/>
    <s v="1531957139:1"/>
    <s v="1.01.00"/>
    <s v="FP Labor -Billable Cost"/>
    <s v="Labor"/>
    <s v="CO-C"/>
    <d v="2026-04-21T00:00:00"/>
    <x v="16"/>
    <x v="5"/>
    <s v="Employee"/>
    <s v="5"/>
    <s v="ORCL IT"/>
    <s v="503896 - 6FT:EMEA OCS Tech Other Delivery"/>
    <s v="0048"/>
    <s v="Y"/>
    <s v="Y"/>
    <s v="Unrecognized"/>
    <n v="8"/>
    <s v="AED"/>
    <n v="261.33999999999997"/>
    <n v="660.13"/>
    <n v="2090.719999999999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6167"/>
    <s v="1532974360:1"/>
    <s v="1.01.00"/>
    <s v="FP Labor -Billable Cost"/>
    <s v="Labor"/>
    <s v="CO-C"/>
    <d v="2026-04-21T00:00:00"/>
    <x v="16"/>
    <x v="3"/>
    <s v="Employee"/>
    <s v="6"/>
    <s v="ORCL IN OSSI"/>
    <s v="504506 - 94V:GSC-eStudio"/>
    <s v="09B4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2575"/>
    <s v="3029640801244521"/>
    <s v="1.01.00"/>
    <s v="FP Labor -Billable Cost"/>
    <s v="Labor"/>
    <s v="CO-C"/>
    <d v="2026-04-22T00:00:00"/>
    <x v="16"/>
    <x v="9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2620"/>
    <s v="3029632283277961"/>
    <s v="1.01.00"/>
    <s v="FP Labor -Billable Cost"/>
    <s v="Labor"/>
    <s v="CO-C"/>
    <d v="2026-04-22T00:00:00"/>
    <x v="1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0269"/>
    <s v="1531957140:1"/>
    <s v="1.01.00"/>
    <s v="FP Labor -Billable Cost"/>
    <s v="Labor"/>
    <s v="CO-C"/>
    <d v="2026-04-22T00:00:00"/>
    <x v="16"/>
    <x v="5"/>
    <s v="Employee"/>
    <s v="5"/>
    <s v="ORCL IT"/>
    <s v="503896 - 6FT:EMEA OCS Tech Other Delivery"/>
    <s v="0048"/>
    <s v="Y"/>
    <s v="Y"/>
    <s v="Unrecognized"/>
    <n v="8"/>
    <s v="AED"/>
    <n v="261.33999999999997"/>
    <n v="660.13"/>
    <n v="2090.719999999999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9634"/>
    <s v="1532974361:1"/>
    <s v="1.01.00"/>
    <s v="FP Labor -Billable Cost"/>
    <s v="Labor"/>
    <s v="CO-C"/>
    <d v="2026-04-22T00:00:00"/>
    <x v="16"/>
    <x v="3"/>
    <s v="Employee"/>
    <s v="6"/>
    <s v="ORCL IN OSSI"/>
    <s v="504506 - 94V:GSC-eStudio"/>
    <s v="09B4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24153"/>
    <s v="3029640801244551"/>
    <s v="1.01.00"/>
    <s v="FP Labor -Billable Cost"/>
    <s v="Labor"/>
    <s v="CO-C"/>
    <d v="2026-04-23T00:00:00"/>
    <x v="16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24246"/>
    <s v="3029632283277982"/>
    <s v="1.01.00"/>
    <s v="FP Labor -Billable Cost"/>
    <s v="Labor"/>
    <s v="CO-C"/>
    <d v="2026-04-23T00:00:00"/>
    <x v="16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93830"/>
    <s v="1531957141:1"/>
    <s v="1.01.00"/>
    <s v="FP Labor -Billable Cost"/>
    <s v="Labor"/>
    <s v="CO-C"/>
    <d v="2026-04-23T00:00:00"/>
    <x v="16"/>
    <x v="5"/>
    <s v="Employee"/>
    <s v="5"/>
    <s v="ORCL IT"/>
    <s v="503896 - 6FT:EMEA OCS Tech Other Delivery"/>
    <s v="0048"/>
    <s v="Y"/>
    <s v="Y"/>
    <s v="Unrecognized"/>
    <n v="8"/>
    <s v="AED"/>
    <n v="259.49"/>
    <n v="660.13"/>
    <n v="2075.9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6821"/>
    <s v="1532974362:1"/>
    <s v="1.01.00"/>
    <s v="FP Labor -Billable Cost"/>
    <s v="Labor"/>
    <s v="CO-C"/>
    <d v="2026-04-23T00:00:00"/>
    <x v="16"/>
    <x v="3"/>
    <s v="Employee"/>
    <s v="6"/>
    <s v="ORCL IN OSSI"/>
    <s v="504506 - 94V:GSC-eStudio"/>
    <s v="09B4"/>
    <s v="Y"/>
    <s v="Y"/>
    <s v="Unrecognized"/>
    <n v="8"/>
    <s v="AED"/>
    <n v="109.99"/>
    <n v="754.44"/>
    <n v="879.9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87600"/>
    <s v="3029639223336561"/>
    <s v="1.01.00"/>
    <s v="FP Labor -Billable Cost"/>
    <s v="Labor"/>
    <s v="CO-C"/>
    <d v="2026-04-23T00:00:00"/>
    <x v="16"/>
    <x v="6"/>
    <s v="Employee"/>
    <s v="7"/>
    <s v="ORCL CY"/>
    <s v="503896 - 6FT:EMEA OCS Tech Other Delivery"/>
    <s v="010K"/>
    <s v="Y"/>
    <s v="Y"/>
    <s v="Unrecognized"/>
    <n v="8"/>
    <s v="AED"/>
    <n v="271.83"/>
    <n v="813.38"/>
    <n v="2174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40115"/>
    <s v="1531957142:1"/>
    <s v="1.01.00"/>
    <s v="FP Labor -Billable Cost"/>
    <s v="Labor"/>
    <s v="CO-C"/>
    <d v="2026-04-24T00:00:00"/>
    <x v="16"/>
    <x v="5"/>
    <s v="Employee"/>
    <s v="5"/>
    <s v="ORCL IT"/>
    <s v="503896 - 6FT:EMEA OCS Tech Other Delivery"/>
    <s v="0048"/>
    <s v="Y"/>
    <s v="Y"/>
    <s v="Unrecognized"/>
    <n v="8"/>
    <s v="AED"/>
    <n v="259"/>
    <n v="660.13"/>
    <n v="2072.01000000000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5945"/>
    <s v="1532974363:1"/>
    <s v="1.01.00"/>
    <s v="FP Labor -Billable Cost"/>
    <s v="Labor"/>
    <s v="CO-C"/>
    <d v="2026-04-24T00:00:00"/>
    <x v="16"/>
    <x v="3"/>
    <s v="Employee"/>
    <s v="6"/>
    <s v="ORCL IN OSSI"/>
    <s v="504506 - 94V:GSC-eStudio"/>
    <s v="09B4"/>
    <s v="Y"/>
    <s v="Y"/>
    <s v="Unrecognized"/>
    <n v="8"/>
    <s v="AED"/>
    <n v="109.63"/>
    <n v="754.44"/>
    <n v="877.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6625"/>
    <s v="3029639223336581"/>
    <s v="1.01.00"/>
    <s v="FP Labor -Billable Cost"/>
    <s v="Labor"/>
    <s v="CO-C"/>
    <d v="2026-04-24T00:00:00"/>
    <x v="16"/>
    <x v="6"/>
    <s v="Employee"/>
    <s v="7"/>
    <s v="ORCL CY"/>
    <s v="503896 - 6FT:EMEA OCS Tech Other Delivery"/>
    <s v="010K"/>
    <s v="Y"/>
    <s v="Y"/>
    <s v="Unrecognized"/>
    <n v="8"/>
    <s v="AED"/>
    <n v="271.32"/>
    <n v="813.38"/>
    <n v="2170.53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432"/>
    <s v="3029641125637471"/>
    <s v="1.01.00"/>
    <s v="FP Labor -Billable Cost"/>
    <s v="Labor"/>
    <s v="CO-C"/>
    <d v="2026-04-26T00:00:00"/>
    <x v="17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1397"/>
    <s v="3029640798659891"/>
    <s v="1.01.00"/>
    <s v="FP Labor -Billable Cost"/>
    <s v="Labor"/>
    <s v="CO-C"/>
    <d v="2026-04-27T00:00:00"/>
    <x v="17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46739"/>
    <s v="3029632283245742"/>
    <s v="1.01.00"/>
    <s v="FP Labor -Billable Cost"/>
    <s v="Labor"/>
    <s v="CO-C"/>
    <d v="2026-04-27T00:00:00"/>
    <x v="17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431"/>
    <s v="3029641125637491"/>
    <s v="1.01.00"/>
    <s v="FP Labor -Billable Cost"/>
    <s v="Labor"/>
    <s v="CO-C"/>
    <d v="2026-04-27T00:00:00"/>
    <x v="17"/>
    <x v="8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503360"/>
    <s v="1531957251:1"/>
    <s v="1.01.00"/>
    <s v="FP Labor -Billable Cost"/>
    <s v="Labor"/>
    <s v="CO-C"/>
    <d v="2026-04-27T00:00:00"/>
    <x v="17"/>
    <x v="5"/>
    <s v="Employee"/>
    <s v="5"/>
    <s v="ORCL IT"/>
    <s v="503896 - 6FT:EMEA OCS Tech Other Delivery"/>
    <s v="0048"/>
    <s v="Y"/>
    <s v="Y"/>
    <s v="Unrecognized"/>
    <n v="8"/>
    <s v="AED"/>
    <n v="259.83999999999997"/>
    <n v="660.13"/>
    <n v="2078.7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78034"/>
    <s v="1532974420:3"/>
    <s v="1.01.00"/>
    <s v="FP Labor -Billable Cost"/>
    <s v="Labor"/>
    <s v="CO-C"/>
    <d v="2026-04-27T00:00:00"/>
    <x v="17"/>
    <x v="3"/>
    <s v="Employee"/>
    <s v="6"/>
    <s v="ORCL IN OSSI"/>
    <s v="504506 - 94V:GSC-eStudio"/>
    <s v="09B4"/>
    <s v="Y"/>
    <s v="Y"/>
    <s v="Unrecognized"/>
    <n v="8"/>
    <s v="AED"/>
    <n v="109.46"/>
    <n v="754.44"/>
    <n v="875.6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1395"/>
    <s v="3029640798659921"/>
    <s v="1.01.00"/>
    <s v="FP Labor -Billable Cost"/>
    <s v="Labor"/>
    <s v="CO-C"/>
    <d v="2026-04-28T00:00:00"/>
    <x v="17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46737"/>
    <s v="3029632283245762"/>
    <s v="1.01.00"/>
    <s v="FP Labor -Billable Cost"/>
    <s v="Labor"/>
    <s v="CO-C"/>
    <d v="2026-04-28T00:00:00"/>
    <x v="17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503604"/>
    <s v="1531957252:1"/>
    <s v="1.01.00"/>
    <s v="FP Labor -Billable Cost"/>
    <s v="Labor"/>
    <s v="CO-C"/>
    <d v="2026-04-28T00:00:00"/>
    <x v="17"/>
    <x v="5"/>
    <s v="Employee"/>
    <s v="5"/>
    <s v="ORCL IT"/>
    <s v="503896 - 6FT:EMEA OCS Tech Other Delivery"/>
    <s v="0048"/>
    <s v="Y"/>
    <s v="Y"/>
    <s v="Unrecognized"/>
    <n v="8"/>
    <s v="AED"/>
    <n v="259.86"/>
    <n v="660.13"/>
    <n v="2078.8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0407"/>
    <s v="1532974421:3"/>
    <s v="1.01.00"/>
    <s v="FP Labor -Billable Cost"/>
    <s v="Labor"/>
    <s v="CO-C"/>
    <d v="2026-04-28T00:00:00"/>
    <x v="17"/>
    <x v="3"/>
    <s v="Employee"/>
    <s v="6"/>
    <s v="ORCL IN OSSI"/>
    <s v="504506 - 94V:GSC-eStudio"/>
    <s v="09B4"/>
    <s v="Y"/>
    <s v="Y"/>
    <s v="Unrecognized"/>
    <n v="8"/>
    <s v="AED"/>
    <n v="109.53"/>
    <n v="754.44"/>
    <n v="876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1394"/>
    <s v="3029640798659951"/>
    <s v="1.01.00"/>
    <s v="FP Labor -Billable Cost"/>
    <s v="Labor"/>
    <s v="CO-C"/>
    <d v="2026-04-29T00:00:00"/>
    <x v="17"/>
    <x v="9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46735"/>
    <s v="3029632283245782"/>
    <s v="1.01.00"/>
    <s v="FP Labor -Billable Cost"/>
    <s v="Labor"/>
    <s v="CO-C"/>
    <d v="2026-04-29T00:00:00"/>
    <x v="17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502007"/>
    <s v="1531957253:1"/>
    <s v="1.01.00"/>
    <s v="FP Labor -Billable Cost"/>
    <s v="Labor"/>
    <s v="CO-C"/>
    <d v="2026-04-29T00:00:00"/>
    <x v="17"/>
    <x v="5"/>
    <s v="Employee"/>
    <s v="5"/>
    <s v="ORCL IT"/>
    <s v="503896 - 6FT:EMEA OCS Tech Other Delivery"/>
    <s v="0048"/>
    <s v="Y"/>
    <s v="Y"/>
    <s v="Unrecognized"/>
    <n v="8"/>
    <s v="AED"/>
    <n v="259.35000000000002"/>
    <n v="660.13"/>
    <n v="2074.78000000000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68031"/>
    <s v="1532583878:1"/>
    <s v="1.01.00"/>
    <s v="FP Labor -Billable Cost"/>
    <s v="Labor"/>
    <s v="CO-C"/>
    <d v="2026-04-29T00:00:00"/>
    <x v="17"/>
    <x v="4"/>
    <s v="Employee"/>
    <s v="6"/>
    <s v="ORCL PT"/>
    <s v="503896 - 6FT:EMEA OCS Tech Other Delivery"/>
    <s v="0057"/>
    <s v="Y"/>
    <s v="Y"/>
    <s v="Unrecognized"/>
    <n v="8"/>
    <s v="AED"/>
    <n v="306.14"/>
    <n v="754.44"/>
    <n v="2449.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1380"/>
    <s v="3029640798659981"/>
    <s v="1.01.00"/>
    <s v="FP Labor -Billable Cost"/>
    <s v="Labor"/>
    <s v="CO-C"/>
    <d v="2026-04-30T00:00:00"/>
    <x v="17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46733"/>
    <s v="3029632283245803"/>
    <s v="1.01.00"/>
    <s v="FP Labor -Billable Cost"/>
    <s v="Labor"/>
    <s v="CO-C"/>
    <d v="2026-04-30T00:00:00"/>
    <x v="17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502704"/>
    <s v="1531957254:1"/>
    <s v="1.01.00"/>
    <s v="FP Labor -Billable Cost"/>
    <s v="Labor"/>
    <s v="CO-C"/>
    <d v="2026-04-30T00:00:00"/>
    <x v="17"/>
    <x v="5"/>
    <s v="Employee"/>
    <s v="5"/>
    <s v="ORCL IT"/>
    <s v="503896 - 6FT:EMEA OCS Tech Other Delivery"/>
    <s v="0048"/>
    <s v="Y"/>
    <s v="Y"/>
    <s v="Unrecognized"/>
    <n v="8"/>
    <s v="AED"/>
    <n v="259.35000000000002"/>
    <n v="660.13"/>
    <n v="2074.78000000000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1146"/>
    <s v="1532974423:3"/>
    <s v="1.01.00"/>
    <s v="FP Labor -Billable Cost"/>
    <s v="Labor"/>
    <s v="CO-C"/>
    <d v="2026-04-30T00:00:00"/>
    <x v="17"/>
    <x v="3"/>
    <s v="Employee"/>
    <s v="6"/>
    <s v="ORCL IN OSSI"/>
    <s v="504506 - 94V:GSC-eStudio"/>
    <s v="09B4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13779"/>
    <s v="3029639222356771"/>
    <s v="1.01.00"/>
    <s v="FP Labor -Billable Cost"/>
    <s v="Labor"/>
    <s v="CO-C"/>
    <d v="2026-04-30T00:00:00"/>
    <x v="17"/>
    <x v="6"/>
    <s v="Employee"/>
    <s v="7"/>
    <s v="ORCL CY"/>
    <s v="503896 - 6FT:EMEA OCS Tech Other Delivery"/>
    <s v="010K"/>
    <s v="Y"/>
    <s v="Y"/>
    <s v="Unrecognized"/>
    <n v="8"/>
    <s v="AED"/>
    <n v="271.68"/>
    <n v="813.38"/>
    <n v="2173.42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13778"/>
    <s v="3029639222356791"/>
    <s v="1.01.00"/>
    <s v="FP Labor -Billable Cost"/>
    <s v="Labor"/>
    <s v="CO-C"/>
    <d v="2026-05-01T00:00:00"/>
    <x v="17"/>
    <x v="6"/>
    <s v="Employee"/>
    <s v="7"/>
    <s v="ORCL CY"/>
    <s v="503896 - 6FT:EMEA OCS Tech Other Delivery"/>
    <s v="010K"/>
    <s v="Y"/>
    <s v="Y"/>
    <s v="Unrecognized"/>
    <n v="8"/>
    <s v="AED"/>
    <n v="271.68"/>
    <n v="813.38"/>
    <n v="2173.42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30751"/>
    <s v="3029640804353642"/>
    <s v="1.01.00"/>
    <s v="FP Labor -Billable Cost"/>
    <s v="Labor"/>
    <s v="CO-C"/>
    <d v="2026-05-04T00:00:00"/>
    <x v="18"/>
    <x v="9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0141"/>
    <s v="3029632284995121"/>
    <s v="1.01.00"/>
    <s v="FP Labor -Billable Cost"/>
    <s v="Labor"/>
    <s v="CO-C"/>
    <d v="2026-05-04T00:00:00"/>
    <x v="1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90874"/>
    <s v="1532579942:1"/>
    <s v="1.01.00"/>
    <s v="FP Labor -Billable Cost"/>
    <s v="Labor"/>
    <s v="CO-C"/>
    <d v="2026-05-04T00:00:00"/>
    <x v="18"/>
    <x v="4"/>
    <s v="Employee"/>
    <s v="6"/>
    <s v="ORCL PT"/>
    <s v="503896 - 6FT:EMEA OCS Tech Other Delivery"/>
    <s v="0057"/>
    <s v="Y"/>
    <s v="Y"/>
    <s v="Unrecognized"/>
    <n v="8"/>
    <s v="AED"/>
    <n v="306.14"/>
    <n v="754.44"/>
    <n v="2449.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30748"/>
    <s v="3029640804353672"/>
    <s v="1.01.00"/>
    <s v="FP Labor -Billable Cost"/>
    <s v="Labor"/>
    <s v="CO-C"/>
    <d v="2026-05-05T00:00:00"/>
    <x v="18"/>
    <x v="9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0140"/>
    <s v="3029632284995141"/>
    <s v="1.01.00"/>
    <s v="FP Labor -Billable Cost"/>
    <s v="Labor"/>
    <s v="CO-C"/>
    <d v="2026-05-05T00:00:00"/>
    <x v="1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72006"/>
    <s v="3029653515254241"/>
    <s v="1.01.00"/>
    <s v="FP Labor -Billable Cost"/>
    <s v="Labor"/>
    <s v="CO-C"/>
    <d v="2026-05-05T00:00:00"/>
    <x v="18"/>
    <x v="6"/>
    <s v="Employee"/>
    <s v="7"/>
    <s v="ORCL CY"/>
    <s v="503896 - 6FT:EMEA OCS Tech Other Delivery"/>
    <s v="010K"/>
    <s v="Y"/>
    <s v="Y"/>
    <s v="Unrecognized"/>
    <n v="8"/>
    <s v="AED"/>
    <n v="271.68"/>
    <n v="813.38"/>
    <n v="2173.42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30746"/>
    <s v="3029640804353702"/>
    <s v="1.01.00"/>
    <s v="FP Labor -Billable Cost"/>
    <s v="Labor"/>
    <s v="CO-C"/>
    <d v="2026-05-06T00:00:00"/>
    <x v="18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75864"/>
    <s v="3029632284995161"/>
    <s v="1.01.00"/>
    <s v="FP Labor -Billable Cost"/>
    <s v="Labor"/>
    <s v="CO-C"/>
    <d v="2026-05-06T00:00:00"/>
    <x v="18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81122"/>
    <s v="1538649941:1"/>
    <s v="1.01.00"/>
    <s v="FP Labor -Billable Cost"/>
    <s v="Labor"/>
    <s v="CO-C"/>
    <d v="2026-05-06T00:00:00"/>
    <x v="18"/>
    <x v="4"/>
    <s v="Employee"/>
    <s v="6"/>
    <s v="ORCL PT"/>
    <s v="503896 - 6FT:EMEA OCS Tech Other Delivery"/>
    <s v="0057"/>
    <s v="Y"/>
    <s v="Y"/>
    <s v="Unrecognized"/>
    <n v="8"/>
    <s v="AED"/>
    <n v="306.14"/>
    <n v="754.44"/>
    <n v="2449.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72008"/>
    <s v="3029653515254261"/>
    <s v="1.01.00"/>
    <s v="FP Labor -Billable Cost"/>
    <s v="Labor"/>
    <s v="CO-C"/>
    <d v="2026-05-06T00:00:00"/>
    <x v="18"/>
    <x v="6"/>
    <s v="Employee"/>
    <s v="7"/>
    <s v="ORCL CY"/>
    <s v="503896 - 6FT:EMEA OCS Tech Other Delivery"/>
    <s v="010K"/>
    <s v="Y"/>
    <s v="Y"/>
    <s v="Unrecognized"/>
    <n v="8"/>
    <s v="AED"/>
    <n v="271.68"/>
    <n v="813.38"/>
    <n v="2173.42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30735"/>
    <s v="3029640804353732"/>
    <s v="1.01.00"/>
    <s v="FP Labor -Billable Cost"/>
    <s v="Labor"/>
    <s v="CO-C"/>
    <d v="2026-05-07T00:00:00"/>
    <x v="18"/>
    <x v="9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825453"/>
    <s v="3029632284995182"/>
    <s v="1.01.00"/>
    <s v="FP Labor -Billable Cost"/>
    <s v="Labor"/>
    <s v="CO-C"/>
    <d v="2026-05-07T00:00:00"/>
    <x v="18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856728"/>
    <s v="3029639226901431"/>
    <s v="1.01.00"/>
    <s v="FP Labor -Billable Cost"/>
    <s v="Labor"/>
    <s v="CO-C"/>
    <d v="2026-05-07T00:00:00"/>
    <x v="18"/>
    <x v="6"/>
    <s v="Employee"/>
    <s v="7"/>
    <s v="ORCL CY"/>
    <s v="503896 - 6FT:EMEA OCS Tech Other Delivery"/>
    <s v="010K"/>
    <s v="Y"/>
    <s v="Y"/>
    <s v="Unrecognized"/>
    <n v="8"/>
    <s v="AED"/>
    <n v="271.68"/>
    <n v="813.38"/>
    <n v="2173.42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948786"/>
    <s v="3029639226901451"/>
    <s v="1.01.00"/>
    <s v="FP Labor -Billable Cost"/>
    <s v="Labor"/>
    <s v="CO-C"/>
    <d v="2026-05-08T00:00:00"/>
    <x v="18"/>
    <x v="6"/>
    <s v="Employee"/>
    <s v="7"/>
    <s v="ORCL CY"/>
    <s v="503896 - 6FT:EMEA OCS Tech Other Delivery"/>
    <s v="010K"/>
    <s v="Y"/>
    <s v="Y"/>
    <s v="Unrecognized"/>
    <n v="8"/>
    <s v="AED"/>
    <n v="271.68"/>
    <n v="813.38"/>
    <n v="2173.42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30689"/>
    <s v="3029640803676192"/>
    <s v="1.01.00"/>
    <s v="FP Labor -Billable Cost"/>
    <s v="Labor"/>
    <s v="CO-C"/>
    <d v="2026-05-11T00:00:00"/>
    <x v="19"/>
    <x v="9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46762"/>
    <s v="3029632284439415"/>
    <s v="1.01.00"/>
    <s v="FP Labor -Billable Cost"/>
    <s v="Labor"/>
    <s v="CO-C"/>
    <d v="2026-05-11T00:00:00"/>
    <x v="19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71495"/>
    <s v="1532580007:1"/>
    <s v="1.01.00"/>
    <s v="FP Labor -Billable Cost"/>
    <s v="Labor"/>
    <s v="CO-C"/>
    <d v="2026-05-11T00:00:00"/>
    <x v="19"/>
    <x v="4"/>
    <s v="Employee"/>
    <s v="6"/>
    <s v="ORCL PT"/>
    <s v="503896 - 6FT:EMEA OCS Tech Other Delivery"/>
    <s v="0057"/>
    <s v="Y"/>
    <s v="Y"/>
    <s v="Unrecognized"/>
    <n v="8"/>
    <s v="AED"/>
    <n v="306.14"/>
    <n v="754.44"/>
    <n v="2449.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30688"/>
    <s v="3029640803676222"/>
    <s v="1.01.00"/>
    <s v="FP Labor -Billable Cost"/>
    <s v="Labor"/>
    <s v="CO-C"/>
    <d v="2026-05-12T00:00:00"/>
    <x v="19"/>
    <x v="9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46759"/>
    <s v="3029632284439435"/>
    <s v="1.01.00"/>
    <s v="FP Labor -Billable Cost"/>
    <s v="Labor"/>
    <s v="CO-C"/>
    <d v="2026-05-12T00:00:00"/>
    <x v="19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27700"/>
    <s v="3029653523443261"/>
    <s v="1.01.00"/>
    <s v="FP Labor -Billable Cost"/>
    <s v="Labor"/>
    <s v="CO-C"/>
    <d v="2026-05-12T00:00:00"/>
    <x v="19"/>
    <x v="6"/>
    <s v="Employee"/>
    <s v="7"/>
    <s v="ORCL CY"/>
    <s v="503896 - 6FT:EMEA OCS Tech Other Delivery"/>
    <s v="010K"/>
    <s v="Y"/>
    <s v="Y"/>
    <s v="Unrecognized"/>
    <n v="8"/>
    <s v="AED"/>
    <n v="273.63"/>
    <n v="813.38"/>
    <n v="2189.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07671"/>
    <s v="3029640803676252"/>
    <s v="1.01.00"/>
    <s v="FP Labor -Billable Cost"/>
    <s v="Labor"/>
    <s v="CO-C"/>
    <d v="2026-05-13T00:00:00"/>
    <x v="19"/>
    <x v="9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46756"/>
    <s v="3029632284439455"/>
    <s v="1.01.00"/>
    <s v="FP Labor -Billable Cost"/>
    <s v="Labor"/>
    <s v="CO-C"/>
    <d v="2026-05-13T00:00:00"/>
    <x v="19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81119"/>
    <s v="1538349522:1"/>
    <s v="1.01.00"/>
    <s v="FP Labor -Billable Cost"/>
    <s v="Labor"/>
    <s v="CO-C"/>
    <d v="2026-05-13T00:00:00"/>
    <x v="19"/>
    <x v="4"/>
    <s v="Employee"/>
    <s v="6"/>
    <s v="ORCL PT"/>
    <s v="503896 - 6FT:EMEA OCS Tech Other Delivery"/>
    <s v="0057"/>
    <s v="Y"/>
    <s v="Y"/>
    <s v="Unrecognized"/>
    <n v="8"/>
    <s v="AED"/>
    <n v="307.18"/>
    <n v="754.44"/>
    <n v="2457.4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06270"/>
    <s v="3029653523443281"/>
    <s v="1.01.00"/>
    <s v="FP Labor -Billable Cost"/>
    <s v="Labor"/>
    <s v="CO-C"/>
    <d v="2026-05-13T00:00:00"/>
    <x v="19"/>
    <x v="6"/>
    <s v="Employee"/>
    <s v="7"/>
    <s v="ORCL CY"/>
    <s v="503896 - 6FT:EMEA OCS Tech Other Delivery"/>
    <s v="010K"/>
    <s v="Y"/>
    <s v="Y"/>
    <s v="Unrecognized"/>
    <n v="8"/>
    <s v="AED"/>
    <n v="272.61"/>
    <n v="813.38"/>
    <n v="2180.8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35186"/>
    <s v="3029640803676282"/>
    <s v="1.01.00"/>
    <s v="FP Labor -Billable Cost"/>
    <s v="Labor"/>
    <s v="CO-C"/>
    <d v="2026-05-14T00:00:00"/>
    <x v="19"/>
    <x v="9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46753"/>
    <s v="3029632284439476"/>
    <s v="1.01.00"/>
    <s v="FP Labor -Billable Cost"/>
    <s v="Labor"/>
    <s v="CO-C"/>
    <d v="2026-05-14T00:00:00"/>
    <x v="19"/>
    <x v="0"/>
    <s v="Employee"/>
    <s v="7"/>
    <s v="ORCL AE"/>
    <s v="509505 - 75M: EMEA Digital - PaaS"/>
    <s v="0069"/>
    <s v="Y"/>
    <s v="Y"/>
    <s v="Unrecognized"/>
    <n v="16"/>
    <s v="AED"/>
    <n v="433.37"/>
    <n v="813.38"/>
    <n v="6933.92"/>
    <n v="0"/>
    <n v="13014.0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34887"/>
    <s v="3029639225164381"/>
    <s v="1.01.00"/>
    <s v="FP Labor -Billable Cost"/>
    <s v="Labor"/>
    <s v="CO-C"/>
    <d v="2026-05-14T00:00:00"/>
    <x v="19"/>
    <x v="6"/>
    <s v="Employee"/>
    <s v="7"/>
    <s v="ORCL CY"/>
    <s v="503896 - 6FT:EMEA OCS Tech Other Delivery"/>
    <s v="010K"/>
    <s v="Y"/>
    <s v="Y"/>
    <s v="Unrecognized"/>
    <n v="8"/>
    <s v="AED"/>
    <n v="272.10000000000002"/>
    <n v="813.38"/>
    <n v="2176.76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451956"/>
    <s v="3029639225164401"/>
    <s v="1.01.00"/>
    <s v="FP Labor -Billable Cost"/>
    <s v="Labor"/>
    <s v="CO-C"/>
    <d v="2026-05-15T00:00:00"/>
    <x v="19"/>
    <x v="6"/>
    <s v="Employee"/>
    <s v="7"/>
    <s v="ORCL CY"/>
    <s v="503896 - 6FT:EMEA OCS Tech Other Delivery"/>
    <s v="010K"/>
    <s v="Y"/>
    <s v="Y"/>
    <s v="Unrecognized"/>
    <n v="8"/>
    <s v="AED"/>
    <n v="270.77999999999997"/>
    <n v="813.38"/>
    <n v="2166.26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44824"/>
    <s v="3029666177343411"/>
    <s v="1.01.00"/>
    <s v="FP Labor -Billable Cost"/>
    <s v="Labor"/>
    <s v="CO-C"/>
    <d v="2026-06-15T00:00:00"/>
    <x v="2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172169"/>
    <s v="1543124487:1"/>
    <s v="1.01.00"/>
    <s v="FP Labor -Billable Cost"/>
    <s v="Labor"/>
    <s v="CO-C"/>
    <d v="2026-06-15T00:00:00"/>
    <x v="20"/>
    <x v="5"/>
    <s v="Employee"/>
    <s v="5"/>
    <s v="ORCL IT"/>
    <s v="503896 - 6FT:EMEA OCS Tech Other Delivery"/>
    <s v="0048"/>
    <s v="Y"/>
    <s v="Y"/>
    <s v="Unrecognized"/>
    <n v="4"/>
    <s v="AED"/>
    <n v="256.42"/>
    <n v="660.13"/>
    <n v="1025.68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91483"/>
    <s v="3029664852124911"/>
    <s v="1.01.00"/>
    <s v="FP Labor -Billable Cost"/>
    <s v="Labor"/>
    <s v="CO-C"/>
    <d v="2026-06-15T00:00:00"/>
    <x v="20"/>
    <x v="6"/>
    <s v="Employee"/>
    <s v="7"/>
    <s v="ORCL CY"/>
    <s v="503896 - 6FT:EMEA OCS Tech Other Delivery"/>
    <s v="010K"/>
    <s v="Y"/>
    <s v="Y"/>
    <s v="Unrecognized"/>
    <n v="8"/>
    <s v="AED"/>
    <n v="268.61"/>
    <n v="813.38"/>
    <n v="2148.8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44823"/>
    <s v="3029666177343431"/>
    <s v="1.01.00"/>
    <s v="FP Labor -Billable Cost"/>
    <s v="Labor"/>
    <s v="CO-C"/>
    <d v="2026-06-16T00:00:00"/>
    <x v="2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213762"/>
    <s v="1543124488:1"/>
    <s v="1.01.00"/>
    <s v="FP Labor -Billable Cost"/>
    <s v="Labor"/>
    <s v="CO-C"/>
    <d v="2026-06-16T00:00:00"/>
    <x v="20"/>
    <x v="5"/>
    <s v="Employee"/>
    <s v="5"/>
    <s v="ORCL IT"/>
    <s v="503896 - 6FT:EMEA OCS Tech Other Delivery"/>
    <s v="0048"/>
    <s v="Y"/>
    <s v="Y"/>
    <s v="Unrecognized"/>
    <n v="4"/>
    <s v="AED"/>
    <n v="256.95"/>
    <n v="660.13"/>
    <n v="1027.8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91481"/>
    <s v="3029664852124931"/>
    <s v="1.01.00"/>
    <s v="FP Labor -Billable Cost"/>
    <s v="Labor"/>
    <s v="CO-C"/>
    <d v="2026-06-16T00:00:00"/>
    <x v="20"/>
    <x v="6"/>
    <s v="Employee"/>
    <s v="7"/>
    <s v="ORCL CY"/>
    <s v="503896 - 6FT:EMEA OCS Tech Other Delivery"/>
    <s v="010K"/>
    <s v="Y"/>
    <s v="Y"/>
    <s v="Unrecognized"/>
    <n v="8"/>
    <s v="AED"/>
    <n v="269.17"/>
    <n v="813.38"/>
    <n v="2153.3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44822"/>
    <s v="3029666177343451"/>
    <s v="1.01.00"/>
    <s v="FP Labor -Billable Cost"/>
    <s v="Labor"/>
    <s v="CO-C"/>
    <d v="2026-06-17T00:00:00"/>
    <x v="20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213532"/>
    <s v="1543124489:1"/>
    <s v="1.01.00"/>
    <s v="FP Labor -Billable Cost"/>
    <s v="Labor"/>
    <s v="CO-C"/>
    <d v="2026-06-17T00:00:00"/>
    <x v="20"/>
    <x v="5"/>
    <s v="Employee"/>
    <s v="5"/>
    <s v="ORCL IT"/>
    <s v="503896 - 6FT:EMEA OCS Tech Other Delivery"/>
    <s v="0048"/>
    <s v="Y"/>
    <s v="Y"/>
    <s v="Unrecognized"/>
    <n v="4"/>
    <s v="AED"/>
    <n v="256.95"/>
    <n v="660.13"/>
    <n v="1027.8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44819"/>
    <s v="3029666177343472"/>
    <s v="1.01.00"/>
    <s v="FP Labor -Billable Cost"/>
    <s v="Labor"/>
    <s v="CO-C"/>
    <d v="2026-06-18T00:00:00"/>
    <x v="20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213765"/>
    <s v="1543124490:1"/>
    <s v="1.01.00"/>
    <s v="FP Labor -Billable Cost"/>
    <s v="Labor"/>
    <s v="CO-C"/>
    <d v="2026-06-18T00:00:00"/>
    <x v="20"/>
    <x v="5"/>
    <s v="Employee"/>
    <s v="5"/>
    <s v="ORCL IT"/>
    <s v="503896 - 6FT:EMEA OCS Tech Other Delivery"/>
    <s v="0048"/>
    <s v="Y"/>
    <s v="Y"/>
    <s v="Unrecognized"/>
    <n v="4"/>
    <s v="AED"/>
    <n v="255.09"/>
    <n v="660.13"/>
    <n v="1020.36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213422"/>
    <s v="1543124486:1"/>
    <s v="1.01.00"/>
    <s v="FP Labor -Billable Cost"/>
    <s v="Labor"/>
    <s v="CO-C"/>
    <d v="2026-06-19T00:00:00"/>
    <x v="20"/>
    <x v="5"/>
    <s v="Employee"/>
    <s v="5"/>
    <s v="ORCL IT"/>
    <s v="503896 - 6FT:EMEA OCS Tech Other Delivery"/>
    <s v="0048"/>
    <s v="Y"/>
    <s v="Y"/>
    <s v="Unrecognized"/>
    <n v="8"/>
    <s v="AED"/>
    <n v="254.06"/>
    <n v="660.13"/>
    <n v="2032.4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44844"/>
    <s v="3029666179179721"/>
    <s v="1.01.00"/>
    <s v="FP Labor -Billable Cost"/>
    <s v="Labor"/>
    <s v="CO-C"/>
    <d v="2026-06-22T00:00:00"/>
    <x v="2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263148"/>
    <s v="1543124551:1"/>
    <s v="1.01.00"/>
    <s v="FP Labor -Billable Cost"/>
    <s v="Labor"/>
    <s v="CO-C"/>
    <d v="2026-06-22T00:00:00"/>
    <x v="21"/>
    <x v="5"/>
    <s v="Employee"/>
    <s v="5"/>
    <s v="ORCL IT"/>
    <s v="503896 - 6FT:EMEA OCS Tech Other Delivery"/>
    <s v="0048"/>
    <s v="Y"/>
    <s v="Y"/>
    <s v="Unrecognized"/>
    <n v="4"/>
    <s v="AED"/>
    <n v="254.06"/>
    <n v="660.13"/>
    <n v="1016.23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296166"/>
    <s v="3029664851143061"/>
    <s v="1.01.00"/>
    <s v="FP Labor -Billable Cost"/>
    <s v="Labor"/>
    <s v="CO-C"/>
    <d v="2026-06-22T00:00:00"/>
    <x v="21"/>
    <x v="6"/>
    <s v="Employee"/>
    <s v="7"/>
    <s v="ORCL CY"/>
    <s v="503896 - 6FT:EMEA OCS Tech Other Delivery"/>
    <s v="010K"/>
    <s v="Y"/>
    <s v="Y"/>
    <s v="Unrecognized"/>
    <n v="8"/>
    <s v="AED"/>
    <n v="266.14"/>
    <n v="813.38"/>
    <n v="2129.1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67477"/>
    <s v="3029666179179741"/>
    <s v="1.01.00"/>
    <s v="FP Labor -Billable Cost"/>
    <s v="Labor"/>
    <s v="CO-C"/>
    <d v="2026-06-23T00:00:00"/>
    <x v="2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76537"/>
    <s v="1543124552:1"/>
    <s v="1.01.00"/>
    <s v="FP Labor -Billable Cost"/>
    <s v="Labor"/>
    <s v="CO-C"/>
    <d v="2026-06-23T00:00:00"/>
    <x v="21"/>
    <x v="5"/>
    <s v="Employee"/>
    <s v="5"/>
    <s v="ORCL IT"/>
    <s v="503896 - 6FT:EMEA OCS Tech Other Delivery"/>
    <s v="0048"/>
    <s v="Y"/>
    <s v="Y"/>
    <s v="Unrecognized"/>
    <n v="4"/>
    <s v="AED"/>
    <n v="254.06"/>
    <n v="660.13"/>
    <n v="1016.23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67110"/>
    <s v="3029664851143081"/>
    <s v="1.01.00"/>
    <s v="FP Labor -Billable Cost"/>
    <s v="Labor"/>
    <s v="CO-C"/>
    <d v="2026-06-23T00:00:00"/>
    <x v="21"/>
    <x v="6"/>
    <s v="Employee"/>
    <s v="7"/>
    <s v="ORCL CY"/>
    <s v="503896 - 6FT:EMEA OCS Tech Other Delivery"/>
    <s v="010K"/>
    <s v="Y"/>
    <s v="Y"/>
    <s v="Unrecognized"/>
    <n v="8"/>
    <s v="AED"/>
    <n v="266.14"/>
    <n v="813.38"/>
    <n v="2129.1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439362"/>
    <s v="3029666179179761"/>
    <s v="1.01.00"/>
    <s v="FP Labor -Billable Cost"/>
    <s v="Labor"/>
    <s v="CO-C"/>
    <d v="2026-06-24T00:00:00"/>
    <x v="21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435032"/>
    <s v="1543124553:1"/>
    <s v="1.01.00"/>
    <s v="FP Labor -Billable Cost"/>
    <s v="Labor"/>
    <s v="CO-C"/>
    <d v="2026-06-24T00:00:00"/>
    <x v="21"/>
    <x v="5"/>
    <s v="Employee"/>
    <s v="5"/>
    <s v="ORCL IT"/>
    <s v="503896 - 6FT:EMEA OCS Tech Other Delivery"/>
    <s v="0048"/>
    <s v="Y"/>
    <s v="Y"/>
    <s v="Unrecognized"/>
    <n v="4"/>
    <s v="AED"/>
    <n v="252.31"/>
    <n v="660.13"/>
    <n v="1009.23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575518"/>
    <s v="3029666179179791"/>
    <s v="1.01.00"/>
    <s v="FP Labor -Billable Cost"/>
    <s v="Labor"/>
    <s v="CO-C"/>
    <d v="2026-06-25T00:00:00"/>
    <x v="21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579247"/>
    <s v="1543124554:1"/>
    <s v="1.01.00"/>
    <s v="FP Labor -Billable Cost"/>
    <s v="Labor"/>
    <s v="CO-C"/>
    <d v="2026-06-25T00:00:00"/>
    <x v="21"/>
    <x v="5"/>
    <s v="Employee"/>
    <s v="5"/>
    <s v="ORCL IT"/>
    <s v="503896 - 6FT:EMEA OCS Tech Other Delivery"/>
    <s v="0048"/>
    <s v="Y"/>
    <s v="Y"/>
    <s v="Unrecognized"/>
    <n v="4"/>
    <s v="AED"/>
    <n v="252.31"/>
    <n v="660.13"/>
    <n v="1009.23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640791"/>
    <s v="1543124555:1"/>
    <s v="1.01.00"/>
    <s v="FP Labor -Billable Cost"/>
    <s v="Labor"/>
    <s v="CO-C"/>
    <d v="2026-06-26T00:00:00"/>
    <x v="21"/>
    <x v="5"/>
    <s v="Employee"/>
    <s v="5"/>
    <s v="ORCL IT"/>
    <s v="503896 - 6FT:EMEA OCS Tech Other Delivery"/>
    <s v="0048"/>
    <s v="Y"/>
    <s v="Y"/>
    <s v="Unrecognized"/>
    <n v="8"/>
    <s v="AED"/>
    <n v="252.31"/>
    <n v="660.13"/>
    <n v="2018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034811"/>
    <s v="3029666180647101"/>
    <s v="1.01.00"/>
    <s v="FP Labor -Billable Cost"/>
    <s v="Labor"/>
    <s v="CO-C"/>
    <d v="2026-06-29T00:00:00"/>
    <x v="2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021492"/>
    <s v="3029664847170711"/>
    <s v="1.01.00"/>
    <s v="FP Labor -Billable Cost"/>
    <s v="Labor"/>
    <s v="CO-C"/>
    <d v="2026-06-29T00:00:00"/>
    <x v="22"/>
    <x v="6"/>
    <s v="Employee"/>
    <s v="7"/>
    <s v="ORCL CY"/>
    <s v="503896 - 6FT:EMEA OCS Tech Other Delivery"/>
    <s v="010K"/>
    <s v="Y"/>
    <s v="Y"/>
    <s v="Unrecognized"/>
    <n v="8"/>
    <s v="AED"/>
    <n v="264.94"/>
    <n v="813.38"/>
    <n v="2119.55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034810"/>
    <s v="3029666180647121"/>
    <s v="1.01.00"/>
    <s v="FP Labor -Billable Cost"/>
    <s v="Labor"/>
    <s v="CO-C"/>
    <d v="2026-06-30T00:00:00"/>
    <x v="2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021491"/>
    <s v="3029664847170731"/>
    <s v="1.01.00"/>
    <s v="FP Labor -Billable Cost"/>
    <s v="Labor"/>
    <s v="CO-C"/>
    <d v="2026-06-30T00:00:00"/>
    <x v="22"/>
    <x v="6"/>
    <s v="Employee"/>
    <s v="7"/>
    <s v="ORCL CY"/>
    <s v="503896 - 6FT:EMEA OCS Tech Other Delivery"/>
    <s v="010K"/>
    <s v="Y"/>
    <s v="Y"/>
    <s v="Unrecognized"/>
    <n v="8"/>
    <s v="AED"/>
    <n v="264.94"/>
    <n v="813.38"/>
    <n v="2119.55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034809"/>
    <s v="3029666180647141"/>
    <s v="1.01.00"/>
    <s v="FP Labor -Billable Cost"/>
    <s v="Labor"/>
    <s v="CO-C"/>
    <d v="2026-07-01T00:00:00"/>
    <x v="22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034786"/>
    <s v="3029666180647171"/>
    <s v="1.01.00"/>
    <s v="FP Labor -Billable Cost"/>
    <s v="Labor"/>
    <s v="CO-C"/>
    <d v="2026-07-02T00:00:00"/>
    <x v="22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60342"/>
    <s v="3029675777721492"/>
    <s v="1.01.00"/>
    <s v="FP Labor -Billable Cost"/>
    <s v="Labor"/>
    <s v="CO-C"/>
    <d v="2026-07-06T00:00:00"/>
    <x v="23"/>
    <x v="10"/>
    <s v="Employee"/>
    <s v="7"/>
    <s v="ORCL IN OSSI"/>
    <s v="504836 - 1DV:GSC-Digital - PaaS"/>
    <s v="09B7"/>
    <s v="Y"/>
    <s v="Y"/>
    <s v="Unrecognized"/>
    <n v="2"/>
    <s v="AED"/>
    <n v="109.22"/>
    <n v="813.38"/>
    <n v="218.43"/>
    <n v="0"/>
    <n v="1626.76"/>
    <n v="0"/>
    <n v="0"/>
    <s v="A9L8CN/Saudi Telecom Company/STC OneERP A57DJN/FP Etisalat TECH/DRCC WL Migration cloud A9BWHF/Claro/TQD_ClaroVTR_Lakehouse 1.3.6 PS.APAC.Habib Bank Limited (HBL)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407615"/>
    <s v="3029664851524991"/>
    <s v="1.01.00"/>
    <s v="FP Labor -Billable Cost"/>
    <s v="Labor"/>
    <s v="CO-C"/>
    <d v="2026-07-06T00:00:00"/>
    <x v="23"/>
    <x v="6"/>
    <s v="Employee"/>
    <s v="7"/>
    <s v="ORCL CY"/>
    <s v="503896 - 6FT:EMEA OCS Tech Other Delivery"/>
    <s v="010K"/>
    <s v="Y"/>
    <s v="Y"/>
    <s v="Unrecognized"/>
    <n v="8"/>
    <s v="AED"/>
    <n v="264.94"/>
    <n v="813.38"/>
    <n v="2119.55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60340"/>
    <s v="3029675777721522"/>
    <s v="1.01.00"/>
    <s v="FP Labor -Billable Cost"/>
    <s v="Labor"/>
    <s v="CO-C"/>
    <d v="2026-07-07T00:00:00"/>
    <x v="23"/>
    <x v="10"/>
    <s v="Employee"/>
    <s v="7"/>
    <s v="ORCL IN OSSI"/>
    <s v="504836 - 1DV:GSC-Digital - PaaS"/>
    <s v="09B7"/>
    <s v="Y"/>
    <s v="Y"/>
    <s v="Unrecognized"/>
    <n v="2"/>
    <s v="AED"/>
    <n v="109.22"/>
    <n v="813.38"/>
    <n v="218.43"/>
    <n v="0"/>
    <n v="1626.76"/>
    <n v="0"/>
    <n v="0"/>
    <s v="A57DJN _FP Etisalat TECH   DRCC WL Migration cloud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479421"/>
    <s v="3029664851525011"/>
    <s v="1.01.00"/>
    <s v="FP Labor -Billable Cost"/>
    <s v="Labor"/>
    <s v="CO-C"/>
    <d v="2026-07-07T00:00:00"/>
    <x v="23"/>
    <x v="6"/>
    <s v="Employee"/>
    <s v="7"/>
    <s v="ORCL CY"/>
    <s v="503896 - 6FT:EMEA OCS Tech Other Delivery"/>
    <s v="010K"/>
    <s v="Y"/>
    <s v="Y"/>
    <s v="Unrecognized"/>
    <n v="8"/>
    <s v="AED"/>
    <n v="264.94"/>
    <n v="813.38"/>
    <n v="2119.55000000000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60292"/>
    <s v="3029675777721551"/>
    <s v="1.01.00"/>
    <s v="FP Labor -Billable Cost"/>
    <s v="Labor"/>
    <s v="CO-C"/>
    <d v="2026-07-08T00:00:00"/>
    <x v="23"/>
    <x v="10"/>
    <s v="Employee"/>
    <s v="7"/>
    <s v="ORCL IN OSSI"/>
    <s v="504836 - 1DV:GSC-Digital - PaaS"/>
    <s v="09B7"/>
    <s v="Y"/>
    <s v="Y"/>
    <s v="Unrecognized"/>
    <n v="2"/>
    <s v="AED"/>
    <n v="108.64"/>
    <n v="813.38"/>
    <n v="217.27"/>
    <n v="0"/>
    <n v="1626.76"/>
    <n v="0"/>
    <n v="0"/>
    <s v="A9F4CK/KSA/SA-OD-XXXXXXXX-FP-Cloud-Scale AI_AI &amp; App Innovation-SPB-Phase two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60290"/>
    <s v="3029675777721581"/>
    <s v="1.01.00"/>
    <s v="FP Labor -Billable Cost"/>
    <s v="Labor"/>
    <s v="CO-C"/>
    <d v="2026-07-09T00:00:00"/>
    <x v="23"/>
    <x v="10"/>
    <s v="Employee"/>
    <s v="7"/>
    <s v="ORCL IN OSSI"/>
    <s v="504836 - 1DV:GSC-Digital - PaaS"/>
    <s v="09B7"/>
    <s v="Y"/>
    <s v="Y"/>
    <s v="Unrecognized"/>
    <n v="2"/>
    <s v="AED"/>
    <n v="107.97"/>
    <n v="813.38"/>
    <n v="215.94"/>
    <n v="0"/>
    <n v="1626.76"/>
    <n v="0"/>
    <n v="0"/>
    <s v="A9F4CK/KSA/SA-OD-XXXXXXXX-FP-Cloud-Scale AI_AI &amp; App Innovation-SPB-Phase two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60288"/>
    <s v="3029675777721611"/>
    <s v="1.01.00"/>
    <s v="FP Labor -Billable Cost"/>
    <s v="Labor"/>
    <s v="CO-C"/>
    <d v="2026-07-10T00:00:00"/>
    <x v="23"/>
    <x v="10"/>
    <s v="Employee"/>
    <s v="7"/>
    <s v="ORCL IN OSSI"/>
    <s v="504836 - 1DV:GSC-Digital - PaaS"/>
    <s v="09B7"/>
    <s v="Y"/>
    <s v="Y"/>
    <s v="Unrecognized"/>
    <n v="2"/>
    <s v="AED"/>
    <n v="107.97"/>
    <n v="813.38"/>
    <n v="215.94"/>
    <n v="0"/>
    <n v="1626.76"/>
    <n v="0"/>
    <n v="0"/>
    <s v="A9F4CK/KSA/SA-OD-XXXXXXXX-FP-Cloud-Scale AI_AI &amp; App Innovation-SPB-Phase two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077643"/>
    <s v="3029664855501691"/>
    <s v="1.01.00"/>
    <s v="FP Labor -Billable Cost"/>
    <s v="Labor"/>
    <s v="CO-C"/>
    <d v="2026-07-13T00:00:00"/>
    <x v="24"/>
    <x v="6"/>
    <s v="Employee"/>
    <s v="7"/>
    <s v="ORCL CY"/>
    <s v="503896 - 6FT:EMEA OCS Tech Other Delivery"/>
    <s v="010K"/>
    <s v="Y"/>
    <s v="Y"/>
    <s v="Unrecognized"/>
    <n v="8"/>
    <s v="AED"/>
    <n v="265.08999999999997"/>
    <n v="813.38"/>
    <n v="2120.7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170424"/>
    <s v="1543124614:1"/>
    <s v="1.01.00"/>
    <s v="FP Labor -Billable Cost"/>
    <s v="Labor"/>
    <s v="CO-C"/>
    <d v="2026-07-14T00:00:00"/>
    <x v="24"/>
    <x v="5"/>
    <s v="Employee"/>
    <s v="5"/>
    <s v="ORCL IT"/>
    <s v="503896 - 6FT:EMEA OCS Tech Other Delivery"/>
    <s v="0048"/>
    <s v="Y"/>
    <s v="Y"/>
    <s v="Unrecognized"/>
    <n v="8"/>
    <s v="AED"/>
    <n v="252.32"/>
    <n v="660.13"/>
    <n v="2018.5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170292"/>
    <s v="3029664855501711"/>
    <s v="1.01.00"/>
    <s v="FP Labor -Billable Cost"/>
    <s v="Labor"/>
    <s v="CO-C"/>
    <d v="2026-07-14T00:00:00"/>
    <x v="24"/>
    <x v="6"/>
    <s v="Employee"/>
    <s v="7"/>
    <s v="ORCL CY"/>
    <s v="503896 - 6FT:EMEA OCS Tech Other Delivery"/>
    <s v="010K"/>
    <s v="Y"/>
    <s v="Y"/>
    <s v="Unrecognized"/>
    <n v="8"/>
    <s v="AED"/>
    <n v="264.32"/>
    <n v="813.38"/>
    <n v="2114.5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248892"/>
    <s v="1543124615:1"/>
    <s v="1.01.00"/>
    <s v="FP Labor -Billable Cost"/>
    <s v="Labor"/>
    <s v="CO-C"/>
    <d v="2026-07-15T00:00:00"/>
    <x v="24"/>
    <x v="5"/>
    <s v="Employee"/>
    <s v="5"/>
    <s v="ORCL IT"/>
    <s v="503896 - 6FT:EMEA OCS Tech Other Delivery"/>
    <s v="0048"/>
    <s v="Y"/>
    <s v="Y"/>
    <s v="Unrecognized"/>
    <n v="8"/>
    <s v="AED"/>
    <n v="253.25"/>
    <n v="660.13"/>
    <n v="2025.9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362581"/>
    <s v="1543124616:1"/>
    <s v="1.01.00"/>
    <s v="FP Labor -Billable Cost"/>
    <s v="Labor"/>
    <s v="CO-C"/>
    <d v="2026-07-16T00:00:00"/>
    <x v="24"/>
    <x v="5"/>
    <s v="Employee"/>
    <s v="5"/>
    <s v="ORCL IT"/>
    <s v="503896 - 6FT:EMEA OCS Tech Other Delivery"/>
    <s v="0048"/>
    <s v="Y"/>
    <s v="Y"/>
    <s v="Unrecognized"/>
    <n v="8"/>
    <s v="AED"/>
    <n v="253.25"/>
    <n v="660.13"/>
    <n v="2025.9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483754"/>
    <s v="1543124617:1"/>
    <s v="1.01.00"/>
    <s v="FP Labor -Billable Cost"/>
    <s v="Labor"/>
    <s v="CO-C"/>
    <d v="2026-07-17T00:00:00"/>
    <x v="24"/>
    <x v="5"/>
    <s v="Employee"/>
    <s v="5"/>
    <s v="ORCL IT"/>
    <s v="503896 - 6FT:EMEA OCS Tech Other Delivery"/>
    <s v="0048"/>
    <s v="Y"/>
    <s v="Y"/>
    <s v="Unrecognized"/>
    <n v="8"/>
    <s v="AED"/>
    <n v="253.25"/>
    <n v="660.13"/>
    <n v="2025.9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803850"/>
    <s v="3029666181155701"/>
    <s v="1.01.00"/>
    <s v="FP Labor -Billable Cost"/>
    <s v="Labor"/>
    <s v="CO-C"/>
    <d v="2026-07-20T00:00:00"/>
    <x v="2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789633"/>
    <s v="1543124660:1"/>
    <s v="1.01.00"/>
    <s v="FP Labor -Billable Cost"/>
    <s v="Labor"/>
    <s v="CO-C"/>
    <d v="2026-07-20T00:00:00"/>
    <x v="25"/>
    <x v="5"/>
    <s v="Employee"/>
    <s v="5"/>
    <s v="ORCL IT"/>
    <s v="503896 - 6FT:EMEA OCS Tech Other Delivery"/>
    <s v="0048"/>
    <s v="Y"/>
    <s v="Y"/>
    <s v="Unrecognized"/>
    <n v="8"/>
    <s v="AED"/>
    <n v="253.25"/>
    <n v="660.13"/>
    <n v="2025.9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789212"/>
    <s v="3029664851487631"/>
    <s v="1.01.00"/>
    <s v="FP Labor -Billable Cost"/>
    <s v="Labor"/>
    <s v="CO-C"/>
    <d v="2026-07-20T00:00:00"/>
    <x v="25"/>
    <x v="6"/>
    <s v="Employee"/>
    <s v="7"/>
    <s v="ORCL CY"/>
    <s v="503896 - 6FT:EMEA OCS Tech Other Delivery"/>
    <s v="010K"/>
    <s v="Y"/>
    <s v="Y"/>
    <s v="Unrecognized"/>
    <n v="8"/>
    <s v="AED"/>
    <n v="265.29000000000002"/>
    <n v="813.38"/>
    <n v="2122.3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896413"/>
    <s v="3029666181155721"/>
    <s v="1.01.00"/>
    <s v="FP Labor -Billable Cost"/>
    <s v="Labor"/>
    <s v="CO-C"/>
    <d v="2026-07-21T00:00:00"/>
    <x v="2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869997"/>
    <s v="1543124661:1"/>
    <s v="1.01.00"/>
    <s v="FP Labor -Billable Cost"/>
    <s v="Labor"/>
    <s v="CO-C"/>
    <d v="2026-07-21T00:00:00"/>
    <x v="25"/>
    <x v="5"/>
    <s v="Employee"/>
    <s v="5"/>
    <s v="ORCL IT"/>
    <s v="503896 - 6FT:EMEA OCS Tech Other Delivery"/>
    <s v="0048"/>
    <s v="Y"/>
    <s v="Y"/>
    <s v="Unrecognized"/>
    <n v="8"/>
    <s v="AED"/>
    <n v="253.25"/>
    <n v="660.13"/>
    <n v="2025.9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04990"/>
    <s v="3029664851487651"/>
    <s v="1.01.00"/>
    <s v="FP Labor -Billable Cost"/>
    <s v="Labor"/>
    <s v="CO-C"/>
    <d v="2026-07-21T00:00:00"/>
    <x v="25"/>
    <x v="6"/>
    <s v="Employee"/>
    <s v="7"/>
    <s v="ORCL CY"/>
    <s v="503896 - 6FT:EMEA OCS Tech Other Delivery"/>
    <s v="010K"/>
    <s v="Y"/>
    <s v="Y"/>
    <s v="Unrecognized"/>
    <n v="8"/>
    <s v="AED"/>
    <n v="265.29000000000002"/>
    <n v="813.38"/>
    <n v="2122.3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7710"/>
    <s v="3029666181155741"/>
    <s v="1.01.00"/>
    <s v="FP Labor -Billable Cost"/>
    <s v="Labor"/>
    <s v="CO-C"/>
    <d v="2026-07-22T00:00:00"/>
    <x v="25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113679"/>
    <s v="3029666181155771"/>
    <s v="1.01.00"/>
    <s v="FP Labor -Billable Cost"/>
    <s v="Labor"/>
    <s v="CO-C"/>
    <d v="2026-07-23T00:00:00"/>
    <x v="25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660837"/>
    <s v="3029666182197531"/>
    <s v="1.01.00"/>
    <s v="FP Labor -Billable Cost"/>
    <s v="Labor"/>
    <s v="CO-C"/>
    <d v="2026-07-27T00:00:00"/>
    <x v="2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576807"/>
    <s v="1543124702:1"/>
    <s v="1.01.00"/>
    <s v="FP Labor -Billable Cost"/>
    <s v="Labor"/>
    <s v="CO-C"/>
    <d v="2026-07-27T00:00:00"/>
    <x v="26"/>
    <x v="5"/>
    <s v="Employee"/>
    <s v="5"/>
    <s v="ORCL IT"/>
    <s v="503896 - 6FT:EMEA OCS Tech Other Delivery"/>
    <s v="0048"/>
    <s v="Y"/>
    <s v="Y"/>
    <s v="Unrecognized"/>
    <n v="8"/>
    <s v="AED"/>
    <n v="252.04"/>
    <n v="660.13"/>
    <n v="2016.3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641875"/>
    <s v="3029664854472781"/>
    <s v="1.01.00"/>
    <s v="FP Labor -Billable Cost"/>
    <s v="Labor"/>
    <s v="CO-C"/>
    <d v="2026-07-27T00:00:00"/>
    <x v="26"/>
    <x v="6"/>
    <s v="Employee"/>
    <s v="7"/>
    <s v="ORCL CY"/>
    <s v="503896 - 6FT:EMEA OCS Tech Other Delivery"/>
    <s v="010K"/>
    <s v="Y"/>
    <s v="Y"/>
    <s v="Unrecognized"/>
    <n v="8"/>
    <s v="AED"/>
    <n v="264.02999999999997"/>
    <n v="813.38"/>
    <n v="2112.19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55974"/>
    <s v="3029666182197551"/>
    <s v="1.01.00"/>
    <s v="FP Labor -Billable Cost"/>
    <s v="Labor"/>
    <s v="CO-C"/>
    <d v="2026-07-28T00:00:00"/>
    <x v="2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50056"/>
    <s v="1543124703:1"/>
    <s v="1.01.00"/>
    <s v="FP Labor -Billable Cost"/>
    <s v="Labor"/>
    <s v="CO-C"/>
    <d v="2026-07-28T00:00:00"/>
    <x v="26"/>
    <x v="5"/>
    <s v="Employee"/>
    <s v="5"/>
    <s v="ORCL IT"/>
    <s v="503896 - 6FT:EMEA OCS Tech Other Delivery"/>
    <s v="0048"/>
    <s v="Y"/>
    <s v="Y"/>
    <s v="Unrecognized"/>
    <n v="8"/>
    <s v="AED"/>
    <n v="252.05"/>
    <n v="660.13"/>
    <n v="2016.4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32538"/>
    <s v="3029664854472801"/>
    <s v="1.01.00"/>
    <s v="FP Labor -Billable Cost"/>
    <s v="Labor"/>
    <s v="CO-C"/>
    <d v="2026-07-28T00:00:00"/>
    <x v="26"/>
    <x v="6"/>
    <s v="Employee"/>
    <s v="7"/>
    <s v="ORCL CY"/>
    <s v="503896 - 6FT:EMEA OCS Tech Other Delivery"/>
    <s v="010K"/>
    <s v="Y"/>
    <s v="Y"/>
    <s v="Unrecognized"/>
    <n v="8"/>
    <s v="AED"/>
    <n v="264.04000000000002"/>
    <n v="813.38"/>
    <n v="2112.2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868259"/>
    <s v="3029666182197571"/>
    <s v="1.01.00"/>
    <s v="FP Labor -Billable Cost"/>
    <s v="Labor"/>
    <s v="CO-C"/>
    <d v="2026-07-29T00:00:00"/>
    <x v="26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003777"/>
    <s v="3029666182197601"/>
    <s v="1.01.00"/>
    <s v="FP Labor -Billable Cost"/>
    <s v="Labor"/>
    <s v="CO-C"/>
    <d v="2026-07-30T00:00:00"/>
    <x v="26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98971"/>
    <s v="3029666181634521"/>
    <s v="1.01.00"/>
    <s v="FP Labor -Billable Cost"/>
    <s v="Labor"/>
    <s v="CO-C"/>
    <d v="2026-08-03T00:00:00"/>
    <x v="2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48660"/>
    <s v="1545798234:1"/>
    <s v="1.01.00"/>
    <s v="FP Labor -Billable Cost"/>
    <s v="Labor"/>
    <s v="CO-C"/>
    <d v="2026-08-03T00:00:00"/>
    <x v="27"/>
    <x v="5"/>
    <s v="Employee"/>
    <s v="5"/>
    <s v="ORCL IT"/>
    <s v="503896 - 6FT:EMEA OCS Tech Other Delivery"/>
    <s v="0048"/>
    <s v="Y"/>
    <s v="Y"/>
    <s v="Unrecognized"/>
    <n v="8"/>
    <s v="AED"/>
    <n v="252.26"/>
    <n v="660.13"/>
    <n v="2018.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98961"/>
    <s v="3029666181634541"/>
    <s v="1.01.00"/>
    <s v="FP Labor -Billable Cost"/>
    <s v="Labor"/>
    <s v="CO-C"/>
    <d v="2026-08-04T00:00:00"/>
    <x v="2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48835"/>
    <s v="1545798235:1"/>
    <s v="1.01.00"/>
    <s v="FP Labor -Billable Cost"/>
    <s v="Labor"/>
    <s v="CO-C"/>
    <d v="2026-08-04T00:00:00"/>
    <x v="27"/>
    <x v="5"/>
    <s v="Employee"/>
    <s v="5"/>
    <s v="ORCL IT"/>
    <s v="503896 - 6FT:EMEA OCS Tech Other Delivery"/>
    <s v="0048"/>
    <s v="Y"/>
    <s v="Y"/>
    <s v="Unrecognized"/>
    <n v="8"/>
    <s v="AED"/>
    <n v="252.26"/>
    <n v="660.13"/>
    <n v="2018.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568100"/>
    <s v="3029666181634561"/>
    <s v="1.01.00"/>
    <s v="FP Labor -Billable Cost"/>
    <s v="Labor"/>
    <s v="CO-C"/>
    <d v="2026-08-05T00:00:00"/>
    <x v="27"/>
    <x v="0"/>
    <s v="Employee"/>
    <s v="7"/>
    <s v="ORCL AE"/>
    <s v="509505 - 75M: EMEA Digital - PaaS"/>
    <s v="0069"/>
    <s v="Y"/>
    <s v="Y"/>
    <s v="Unrecognized"/>
    <n v="8"/>
    <s v="AED"/>
    <n v="433.37"/>
    <n v="813.38"/>
    <n v="3466.9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79975"/>
    <s v="3029666181634591"/>
    <s v="1.01.00"/>
    <s v="FP Labor -Billable Cost"/>
    <s v="Labor"/>
    <s v="CO-C"/>
    <d v="2026-08-06T00:00:00"/>
    <x v="27"/>
    <x v="0"/>
    <s v="Employee"/>
    <s v="7"/>
    <s v="ORCL AE"/>
    <s v="509505 - 75M: EMEA Digital - PaaS"/>
    <s v="0069"/>
    <s v="Y"/>
    <s v="Y"/>
    <s v="Unrecognized"/>
    <n v="4"/>
    <s v="AED"/>
    <n v="433.37"/>
    <n v="813.38"/>
    <n v="1733.48"/>
    <n v="0"/>
    <n v="3253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86339"/>
    <s v="3029664854835141"/>
    <s v="1.01.00"/>
    <s v="FP Labor -Billable Cost"/>
    <s v="Labor"/>
    <s v="CO-C"/>
    <d v="2026-08-06T00:00:00"/>
    <x v="27"/>
    <x v="6"/>
    <s v="Employee"/>
    <s v="7"/>
    <s v="ORCL CY"/>
    <s v="503896 - 6FT:EMEA OCS Tech Other Delivery"/>
    <s v="010K"/>
    <s v="Y"/>
    <s v="Y"/>
    <s v="Unrecognized"/>
    <n v="8"/>
    <s v="AED"/>
    <n v="264.25"/>
    <n v="813.38"/>
    <n v="2113.989999999999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797761"/>
    <s v="3029664854835161"/>
    <s v="1.01.00"/>
    <s v="FP Labor -Billable Cost"/>
    <s v="Labor"/>
    <s v="CO-C"/>
    <d v="2026-08-07T00:00:00"/>
    <x v="27"/>
    <x v="6"/>
    <s v="Employee"/>
    <s v="7"/>
    <s v="ORCL CY"/>
    <s v="503896 - 6FT:EMEA OCS Tech Other Delivery"/>
    <s v="010K"/>
    <s v="Y"/>
    <s v="Y"/>
    <s v="Unrecognized"/>
    <n v="8"/>
    <s v="AED"/>
    <n v="267.54000000000002"/>
    <n v="813.38"/>
    <n v="2140.3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29315"/>
    <s v="1526362487:4"/>
    <s v="1.02.00"/>
    <s v="FP Labor-Billable Revenue"/>
    <s v="Labor"/>
    <s v="CO-R"/>
    <d v="2026-02-02T00:00:00"/>
    <x v="5"/>
    <x v="11"/>
    <s v="Employee"/>
    <s v="5"/>
    <s v="ORCL IN OSSI"/>
    <s v="504546 - 98V:GSC-PaaS"/>
    <s v="009B"/>
    <s v="Y"/>
    <s v="N"/>
    <s v="Unrecognized"/>
    <n v="8"/>
    <s v="AED"/>
    <n v="70.03"/>
    <m/>
    <n v="560.27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34345"/>
    <s v="1526362483:2"/>
    <s v="1.02.00"/>
    <s v="FP Labor-Billable Revenue"/>
    <s v="Labor"/>
    <s v="CO-R"/>
    <d v="2026-02-03T00:00:00"/>
    <x v="5"/>
    <x v="11"/>
    <s v="Employee"/>
    <s v="5"/>
    <s v="ORCL IN OSSI"/>
    <s v="504546 - 98V:GSC-PaaS"/>
    <s v="009B"/>
    <s v="Y"/>
    <s v="N"/>
    <s v="Unrecognized"/>
    <n v="8"/>
    <s v="AED"/>
    <n v="70.03"/>
    <m/>
    <n v="560.27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31237"/>
    <s v="1526362484:2"/>
    <s v="1.02.00"/>
    <s v="FP Labor-Billable Revenue"/>
    <s v="Labor"/>
    <s v="CO-R"/>
    <d v="2026-02-04T00:00:00"/>
    <x v="5"/>
    <x v="11"/>
    <s v="Employee"/>
    <s v="5"/>
    <s v="ORCL IN OSSI"/>
    <s v="504546 - 98V:GSC-PaaS"/>
    <s v="009B"/>
    <s v="Y"/>
    <s v="N"/>
    <s v="Unrecognized"/>
    <n v="8"/>
    <s v="AED"/>
    <n v="70.03"/>
    <m/>
    <n v="560.27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29188"/>
    <s v="1526362485:2"/>
    <s v="1.02.00"/>
    <s v="FP Labor-Billable Revenue"/>
    <s v="Labor"/>
    <s v="CO-R"/>
    <d v="2026-02-05T00:00:00"/>
    <x v="5"/>
    <x v="11"/>
    <s v="Employee"/>
    <s v="5"/>
    <s v="ORCL IN OSSI"/>
    <s v="504546 - 98V:GSC-PaaS"/>
    <s v="009B"/>
    <s v="Y"/>
    <s v="N"/>
    <s v="Unrecognized"/>
    <n v="8"/>
    <s v="AED"/>
    <n v="70.03"/>
    <m/>
    <n v="560.27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33248"/>
    <s v="1526362486:3"/>
    <s v="1.02.00"/>
    <s v="FP Labor-Billable Revenue"/>
    <s v="Labor"/>
    <s v="CO-R"/>
    <d v="2026-02-06T00:00:00"/>
    <x v="5"/>
    <x v="11"/>
    <s v="Employee"/>
    <s v="5"/>
    <s v="ORCL IN OSSI"/>
    <s v="504546 - 98V:GSC-PaaS"/>
    <s v="009B"/>
    <s v="Y"/>
    <s v="N"/>
    <s v="Unrecognized"/>
    <n v="8"/>
    <s v="AED"/>
    <n v="70.03"/>
    <m/>
    <n v="560.27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26254"/>
    <s v="1527940840:1"/>
    <s v="1.02.00"/>
    <s v="FP Labor-Billable Revenue"/>
    <s v="Labor"/>
    <s v="CO-R"/>
    <d v="2026-02-09T00:00:00"/>
    <x v="6"/>
    <x v="11"/>
    <s v="Employee"/>
    <s v="5"/>
    <s v="ORCL IN OSSI"/>
    <s v="504546 - 98V:GSC-PaaS"/>
    <s v="009B"/>
    <s v="Y"/>
    <s v="N"/>
    <s v="Unrecognized"/>
    <n v="8"/>
    <s v="AED"/>
    <n v="70.03"/>
    <m/>
    <n v="560.27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29798"/>
    <s v="1527300575:3"/>
    <s v="1.02.00"/>
    <s v="FP Labor-Billable Revenue"/>
    <s v="Labor"/>
    <s v="CO-R"/>
    <d v="2026-02-10T00:00:00"/>
    <x v="6"/>
    <x v="11"/>
    <s v="Employee"/>
    <s v="5"/>
    <s v="ORCL IN OSSI"/>
    <s v="504546 - 98V:GSC-PaaS"/>
    <s v="009B"/>
    <s v="Y"/>
    <s v="N"/>
    <s v="Unrecognized"/>
    <n v="8"/>
    <s v="AED"/>
    <n v="70.03"/>
    <m/>
    <n v="560.27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30193"/>
    <s v="1527300576:3"/>
    <s v="1.02.00"/>
    <s v="FP Labor-Billable Revenue"/>
    <s v="Labor"/>
    <s v="CO-R"/>
    <d v="2026-02-11T00:00:00"/>
    <x v="6"/>
    <x v="11"/>
    <s v="Employee"/>
    <s v="5"/>
    <s v="ORCL IN OSSI"/>
    <s v="504546 - 98V:GSC-PaaS"/>
    <s v="009B"/>
    <s v="Y"/>
    <s v="N"/>
    <s v="Unrecognized"/>
    <n v="8"/>
    <s v="AED"/>
    <n v="70.89"/>
    <m/>
    <n v="567.08000000000004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38115"/>
    <s v="1527300577:3"/>
    <s v="1.02.00"/>
    <s v="FP Labor-Billable Revenue"/>
    <s v="Labor"/>
    <s v="CO-R"/>
    <d v="2026-02-12T00:00:00"/>
    <x v="6"/>
    <x v="11"/>
    <s v="Employee"/>
    <s v="5"/>
    <s v="ORCL IN OSSI"/>
    <s v="504546 - 98V:GSC-PaaS"/>
    <s v="009B"/>
    <s v="Y"/>
    <s v="N"/>
    <s v="Unrecognized"/>
    <n v="8"/>
    <s v="AED"/>
    <n v="70.790000000000006"/>
    <m/>
    <n v="566.29999999999995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36486"/>
    <s v="1527300578:3"/>
    <s v="1.02.00"/>
    <s v="FP Labor-Billable Revenue"/>
    <s v="Labor"/>
    <s v="CO-R"/>
    <d v="2026-02-13T00:00:00"/>
    <x v="6"/>
    <x v="11"/>
    <s v="Employee"/>
    <s v="5"/>
    <s v="ORCL IN OSSI"/>
    <s v="504546 - 98V:GSC-PaaS"/>
    <s v="009B"/>
    <s v="Y"/>
    <s v="N"/>
    <s v="Unrecognized"/>
    <n v="8"/>
    <s v="AED"/>
    <n v="70.87"/>
    <m/>
    <n v="566.9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84734"/>
    <s v="1527940875:3"/>
    <s v="1.02.00"/>
    <s v="FP Labor-Billable Revenue"/>
    <s v="Labor"/>
    <s v="CO-R"/>
    <d v="2026-02-16T00:00:00"/>
    <x v="7"/>
    <x v="11"/>
    <s v="Employee"/>
    <s v="5"/>
    <s v="ORCL IN OSSI"/>
    <s v="504546 - 98V:GSC-PaaS"/>
    <s v="009B"/>
    <s v="Y"/>
    <s v="N"/>
    <s v="Unrecognized"/>
    <n v="8"/>
    <s v="AED"/>
    <n v="70.87"/>
    <m/>
    <n v="566.9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79250"/>
    <s v="1527940876:3"/>
    <s v="1.02.00"/>
    <s v="FP Labor-Billable Revenue"/>
    <s v="Labor"/>
    <s v="CO-R"/>
    <d v="2026-02-17T00:00:00"/>
    <x v="7"/>
    <x v="11"/>
    <s v="Employee"/>
    <s v="5"/>
    <s v="ORCL IN OSSI"/>
    <s v="504546 - 98V:GSC-PaaS"/>
    <s v="009B"/>
    <s v="Y"/>
    <s v="N"/>
    <s v="Unrecognized"/>
    <n v="8"/>
    <s v="AED"/>
    <n v="70.87"/>
    <m/>
    <n v="566.9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79986"/>
    <s v="1527940877:3"/>
    <s v="1.02.00"/>
    <s v="FP Labor-Billable Revenue"/>
    <s v="Labor"/>
    <s v="CO-R"/>
    <d v="2026-02-18T00:00:00"/>
    <x v="7"/>
    <x v="11"/>
    <s v="Employee"/>
    <s v="5"/>
    <s v="ORCL IN OSSI"/>
    <s v="504546 - 98V:GSC-PaaS"/>
    <s v="009B"/>
    <s v="Y"/>
    <s v="N"/>
    <s v="Unrecognized"/>
    <n v="8"/>
    <s v="AED"/>
    <n v="70.8"/>
    <m/>
    <n v="566.4199999999999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279851"/>
    <s v="1527940878:3"/>
    <s v="1.02.00"/>
    <s v="FP Labor-Billable Revenue"/>
    <s v="Labor"/>
    <s v="CO-R"/>
    <d v="2026-02-19T00:00:00"/>
    <x v="7"/>
    <x v="11"/>
    <s v="Employee"/>
    <s v="5"/>
    <s v="ORCL IN OSSI"/>
    <s v="504546 - 98V:GSC-PaaS"/>
    <s v="009B"/>
    <s v="Y"/>
    <s v="N"/>
    <s v="Unrecognized"/>
    <n v="8"/>
    <s v="AED"/>
    <n v="70.81"/>
    <m/>
    <n v="566.4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407549"/>
    <s v="1527940879:3"/>
    <s v="1.02.00"/>
    <s v="FP Labor-Billable Revenue"/>
    <s v="Labor"/>
    <s v="CO-R"/>
    <d v="2026-02-20T00:00:00"/>
    <x v="7"/>
    <x v="11"/>
    <s v="Employee"/>
    <s v="5"/>
    <s v="ORCL IN OSSI"/>
    <s v="504546 - 98V:GSC-PaaS"/>
    <s v="009B"/>
    <s v="Y"/>
    <s v="N"/>
    <s v="Unrecognized"/>
    <n v="8"/>
    <s v="AED"/>
    <n v="70.81"/>
    <m/>
    <n v="566.4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5960748"/>
    <s v="3029675781034391"/>
    <s v="1.02.00"/>
    <s v="FP Labor-Billable Revenue"/>
    <s v="Labor"/>
    <s v="CO-R"/>
    <d v="2026-07-13T00:00:00"/>
    <x v="24"/>
    <x v="10"/>
    <s v="Employee"/>
    <s v="7"/>
    <s v="ORCL IN OSSI"/>
    <s v="504836 - 1DV:GSC-Digital - PaaS"/>
    <s v="09B7"/>
    <s v="Y"/>
    <s v="N"/>
    <s v="Unrecognized"/>
    <n v="2"/>
    <s v="AED"/>
    <n v="108.23"/>
    <m/>
    <n v="216.46"/>
    <n v="0"/>
    <n v="0"/>
    <n v="0"/>
    <n v="0"/>
    <s v="A57DJN _FP Etisalat TECH   DRCC WL Migration cloud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5960749"/>
    <s v="3029675781034411"/>
    <s v="1.02.00"/>
    <s v="FP Labor-Billable Revenue"/>
    <s v="Labor"/>
    <s v="CO-R"/>
    <d v="2026-07-14T00:00:00"/>
    <x v="24"/>
    <x v="10"/>
    <s v="Employee"/>
    <s v="7"/>
    <s v="ORCL IN OSSI"/>
    <s v="504836 - 1DV:GSC-Digital - PaaS"/>
    <s v="09B7"/>
    <s v="Y"/>
    <s v="N"/>
    <s v="Unrecognized"/>
    <n v="2"/>
    <s v="AED"/>
    <n v="107.9"/>
    <m/>
    <n v="215.79"/>
    <n v="0"/>
    <n v="0"/>
    <n v="0"/>
    <n v="0"/>
    <s v="A57DJN _FP Etisalat TECH   DRCC WL Migration cloud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5960695"/>
    <s v="3029675781034431"/>
    <s v="1.02.00"/>
    <s v="FP Labor-Billable Revenue"/>
    <s v="Labor"/>
    <s v="CO-R"/>
    <d v="2026-07-15T00:00:00"/>
    <x v="24"/>
    <x v="10"/>
    <s v="Employee"/>
    <s v="7"/>
    <s v="ORCL IN OSSI"/>
    <s v="504836 - 1DV:GSC-Digital - PaaS"/>
    <s v="09B7"/>
    <s v="Y"/>
    <s v="N"/>
    <s v="Unrecognized"/>
    <n v="2"/>
    <s v="AED"/>
    <n v="107.25"/>
    <m/>
    <n v="214.49"/>
    <n v="0"/>
    <n v="0"/>
    <n v="0"/>
    <n v="0"/>
    <s v="A57DJN _FP Etisalat TECH   DRCC WL Migration cloud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5960693"/>
    <s v="3029675781034452"/>
    <s v="1.02.00"/>
    <s v="FP Labor-Billable Revenue"/>
    <s v="Labor"/>
    <s v="CO-R"/>
    <d v="2026-07-16T00:00:00"/>
    <x v="24"/>
    <x v="10"/>
    <s v="Employee"/>
    <s v="7"/>
    <s v="ORCL IN OSSI"/>
    <s v="504836 - 1DV:GSC-Digital - PaaS"/>
    <s v="09B7"/>
    <s v="Y"/>
    <s v="N"/>
    <s v="Unrecognized"/>
    <n v="1"/>
    <s v="AED"/>
    <n v="107.25"/>
    <m/>
    <n v="107.25"/>
    <n v="0"/>
    <n v="0"/>
    <n v="0"/>
    <n v="0"/>
    <s v="A57DJN _FP Etisalat TECH   DRCC WL Migration cloud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5960691"/>
    <s v="3029675781034472"/>
    <s v="1.02.00"/>
    <s v="FP Labor-Billable Revenue"/>
    <s v="Labor"/>
    <s v="CO-R"/>
    <d v="2026-07-17T00:00:00"/>
    <x v="24"/>
    <x v="10"/>
    <s v="Employee"/>
    <s v="7"/>
    <s v="ORCL IN OSSI"/>
    <s v="504836 - 1DV:GSC-Digital - PaaS"/>
    <s v="09B7"/>
    <s v="Y"/>
    <s v="N"/>
    <s v="Unrecognized"/>
    <n v="1"/>
    <s v="AED"/>
    <n v="107.25"/>
    <m/>
    <n v="107.25"/>
    <n v="0"/>
    <n v="0"/>
    <n v="0"/>
    <n v="0"/>
    <s v="A57DJN _FP Etisalat TECH   DRCC WL Migration cloud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738132"/>
    <s v="3029612981947831"/>
    <s v="1.04.00"/>
    <s v="FP Labor - Remote Services Ctr"/>
    <s v="Labor"/>
    <s v="CO-C"/>
    <d v="2026-01-01T00:00:00"/>
    <x v="0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27"/>
    <s v="3029631825512331"/>
    <s v="1.04.00"/>
    <s v="FP Labor - Remote Services Ctr"/>
    <s v="Labor"/>
    <s v="CO-C"/>
    <d v="2026-01-01T00:00:00"/>
    <x v="0"/>
    <x v="13"/>
    <s v="Employee"/>
    <s v="8"/>
    <s v="ORCL EG"/>
    <s v="502416 - 3WP-EMEA Delivery Middleware - IaaS"/>
    <s v="008U"/>
    <s v="Y"/>
    <s v="Y"/>
    <s v="Unrecognized"/>
    <n v="8"/>
    <s v="AED"/>
    <n v="106.65"/>
    <n v="943.05"/>
    <n v="853.2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78"/>
    <s v="3029631795833301"/>
    <s v="1.04.00"/>
    <s v="FP Labor - Remote Services Ctr"/>
    <s v="Labor"/>
    <s v="CO-C"/>
    <d v="2026-01-02T00:00:00"/>
    <x v="0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636313"/>
    <s v="1521983804:1"/>
    <s v="1.04.00"/>
    <s v="FP Labor - Remote Services Ctr"/>
    <s v="Labor"/>
    <s v="CO-C"/>
    <d v="2026-01-02T00:00:00"/>
    <x v="0"/>
    <x v="15"/>
    <s v="Employee"/>
    <s v="6"/>
    <s v="ORCL IN OSSI"/>
    <s v="504526 - 96V:GSC-DB &amp; Options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727836"/>
    <s v="1521671995:1"/>
    <s v="1.04.00"/>
    <s v="FP Labor - Remote Services Ctr"/>
    <s v="Labor"/>
    <s v="CO-C"/>
    <d v="2026-01-02T00:00:00"/>
    <x v="0"/>
    <x v="16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734281"/>
    <s v="1521980534:1"/>
    <s v="1.04.00"/>
    <s v="FP Labor - Remote Services Ctr"/>
    <s v="Labor"/>
    <s v="CO-C"/>
    <d v="2026-01-02T00:00:00"/>
    <x v="0"/>
    <x v="17"/>
    <s v="Employee"/>
    <s v="5"/>
    <s v="ORCL IN OSSI"/>
    <s v="504526 - 96V:GSC-DB &amp; Options"/>
    <s v="09B3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726164"/>
    <s v="1517937171:1"/>
    <s v="1.04.00"/>
    <s v="FP Labor - Remote Services Ctr"/>
    <s v="Labor"/>
    <s v="CO-C"/>
    <d v="2026-01-02T00:00:00"/>
    <x v="0"/>
    <x v="18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732647"/>
    <s v="1521916563:1"/>
    <s v="1.04.00"/>
    <s v="FP Labor - Remote Services Ctr"/>
    <s v="Labor"/>
    <s v="CO-C"/>
    <d v="2026-01-02T00:00:00"/>
    <x v="0"/>
    <x v="19"/>
    <s v="Employee"/>
    <s v="4"/>
    <s v="ORCL IN OSSI"/>
    <s v="504526 - 96V:GSC-DB &amp; Options"/>
    <s v="09B4"/>
    <s v="Y"/>
    <s v="Y"/>
    <s v="Unrecognized"/>
    <n v="8"/>
    <s v="AED"/>
    <n v="71.489999999999995"/>
    <n v="542.25"/>
    <n v="571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662689"/>
    <s v="1521515468:1"/>
    <s v="1.04.00"/>
    <s v="FP Labor - Remote Services Ctr"/>
    <s v="Labor"/>
    <s v="CO-C"/>
    <d v="2026-01-02T00:00:00"/>
    <x v="0"/>
    <x v="20"/>
    <s v="Employee"/>
    <s v="4"/>
    <s v="ORCL IN OSSI"/>
    <s v="504506 - 94V:GSC-eStudio"/>
    <s v="09B4"/>
    <s v="Y"/>
    <s v="Y"/>
    <s v="Unrecognized"/>
    <n v="8"/>
    <s v="AED"/>
    <n v="71.489999999999995"/>
    <n v="542.25"/>
    <n v="571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732508"/>
    <s v="1521905297:2"/>
    <s v="1.04.00"/>
    <s v="FP Labor - Remote Services Ctr"/>
    <s v="Labor"/>
    <s v="CO-C"/>
    <d v="2026-01-02T00:00:00"/>
    <x v="0"/>
    <x v="21"/>
    <s v="Employee"/>
    <s v="5"/>
    <s v="ORCL IN OSSI"/>
    <s v="504526 - 96V:GSC-DB &amp; Options"/>
    <s v="09B4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738131"/>
    <s v="3029612981947851"/>
    <s v="1.04.00"/>
    <s v="FP Labor - Remote Services Ctr"/>
    <s v="Labor"/>
    <s v="CO-C"/>
    <d v="2026-01-02T00:00:00"/>
    <x v="0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26"/>
    <s v="3029631825512351"/>
    <s v="1.04.00"/>
    <s v="FP Labor - Remote Services Ctr"/>
    <s v="Labor"/>
    <s v="CO-C"/>
    <d v="2026-01-02T00:00:00"/>
    <x v="0"/>
    <x v="13"/>
    <s v="Employee"/>
    <s v="8"/>
    <s v="ORCL EG"/>
    <s v="502416 - 3WP-EMEA Delivery Middleware - IaaS"/>
    <s v="008U"/>
    <s v="Y"/>
    <s v="Y"/>
    <s v="Unrecognized"/>
    <n v="8"/>
    <s v="AED"/>
    <n v="106.65"/>
    <n v="943.05"/>
    <n v="853.2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43409"/>
    <s v="1523444742:1"/>
    <s v="1.04.00"/>
    <s v="FP Labor - Remote Services Ctr"/>
    <s v="Labor"/>
    <s v="CO-C"/>
    <d v="2026-01-02T00:00:00"/>
    <x v="0"/>
    <x v="22"/>
    <s v="Employee"/>
    <s v="6"/>
    <s v="ORCL IN OSSI"/>
    <s v="504526 - 96V:GSC-DB &amp; Options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659116"/>
    <s v="1521937357:1"/>
    <s v="1.04.00"/>
    <s v="FP Labor - Remote Services Ctr"/>
    <s v="Labor"/>
    <s v="CO-C"/>
    <d v="2026-01-02T00:00:00"/>
    <x v="0"/>
    <x v="23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554735"/>
    <s v="3029616080321211"/>
    <s v="1.04.00"/>
    <s v="FP Labor - Remote Services Ctr"/>
    <s v="Labor"/>
    <s v="CO-C"/>
    <d v="2026-01-02T00:00:00"/>
    <x v="0"/>
    <x v="24"/>
    <s v="Billable Contractor"/>
    <m/>
    <s v="ORCL IN OSSI"/>
    <s v="504526 - 96V:GSC-DB &amp; Options"/>
    <s v="009B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1972"/>
    <s v="1522743407:1"/>
    <s v="1.04.00"/>
    <s v="FP Labor - Remote Services Ctr"/>
    <s v="Labor"/>
    <s v="CO-C"/>
    <d v="2026-01-02T00:00:00"/>
    <x v="0"/>
    <x v="25"/>
    <s v="Employee"/>
    <s v="7"/>
    <s v="ORCL IN OSSI"/>
    <s v="504506 - 94V:GSC-eStudio"/>
    <s v="009B"/>
    <s v="Y"/>
    <s v="Y"/>
    <s v="Unrecognized"/>
    <n v="8"/>
    <s v="AED"/>
    <n v="114.87"/>
    <n v="813.38"/>
    <n v="918.9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76"/>
    <s v="3029631826622711"/>
    <s v="1.04.00"/>
    <s v="FP Labor - Remote Services Ctr"/>
    <s v="Labor"/>
    <s v="CO-C"/>
    <d v="2026-01-04T00:00:00"/>
    <x v="1"/>
    <x v="13"/>
    <s v="Employee"/>
    <s v="8"/>
    <s v="ORCL EG"/>
    <s v="502416 - 3WP-EMEA Delivery Middleware - IaaS"/>
    <s v="008U"/>
    <s v="Y"/>
    <s v="Y"/>
    <s v="Unrecognized"/>
    <n v="8"/>
    <s v="AED"/>
    <n v="106.65"/>
    <n v="943.05"/>
    <n v="853.2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62101"/>
    <s v="3029619058367511"/>
    <s v="1.04.00"/>
    <s v="FP Labor - Remote Services Ctr"/>
    <s v="Labor"/>
    <s v="CO-C"/>
    <d v="2026-01-05T00:00:00"/>
    <x v="1"/>
    <x v="2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8374"/>
    <s v="3029619307662861"/>
    <s v="1.04.00"/>
    <s v="FP Labor - Remote Services Ctr"/>
    <s v="Labor"/>
    <s v="CO-C"/>
    <d v="2026-01-05T00:00:00"/>
    <x v="1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3854"/>
    <s v="1522753116:1"/>
    <s v="1.04.00"/>
    <s v="FP Labor - Remote Services Ctr"/>
    <s v="Labor"/>
    <s v="CO-C"/>
    <d v="2026-01-05T00:00:00"/>
    <x v="1"/>
    <x v="15"/>
    <s v="Employee"/>
    <s v="6"/>
    <s v="ORCL IN OSSI"/>
    <s v="504526 - 96V:GSC-DB &amp; Options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6331"/>
    <s v="1522916551:1"/>
    <s v="1.04.00"/>
    <s v="FP Labor - Remote Services Ctr"/>
    <s v="Labor"/>
    <s v="CO-C"/>
    <d v="2026-01-05T00:00:00"/>
    <x v="1"/>
    <x v="27"/>
    <s v="Employee"/>
    <s v="6"/>
    <s v="ORCL IN OSSI"/>
    <s v="504526 - 96V:GSC-DB &amp; Options"/>
    <s v="09B4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18769"/>
    <s v="1522700959:1"/>
    <s v="1.04.00"/>
    <s v="FP Labor - Remote Services Ctr"/>
    <s v="Labor"/>
    <s v="CO-C"/>
    <d v="2026-01-05T00:00:00"/>
    <x v="1"/>
    <x v="16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4452"/>
    <s v="1522792863:1"/>
    <s v="1.04.00"/>
    <s v="FP Labor - Remote Services Ctr"/>
    <s v="Labor"/>
    <s v="CO-C"/>
    <d v="2026-01-05T00:00:00"/>
    <x v="1"/>
    <x v="17"/>
    <s v="Employee"/>
    <s v="5"/>
    <s v="ORCL IN OSSI"/>
    <s v="504526 - 96V:GSC-DB &amp; Options"/>
    <s v="09B3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5285"/>
    <s v="1522659785:1"/>
    <s v="1.04.00"/>
    <s v="FP Labor - Remote Services Ctr"/>
    <s v="Labor"/>
    <s v="CO-C"/>
    <d v="2026-01-05T00:00:00"/>
    <x v="1"/>
    <x v="18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4590"/>
    <s v="1522742447:1"/>
    <s v="1.04.00"/>
    <s v="FP Labor - Remote Services Ctr"/>
    <s v="Labor"/>
    <s v="CO-C"/>
    <d v="2026-01-05T00:00:00"/>
    <x v="1"/>
    <x v="19"/>
    <s v="Employee"/>
    <s v="4"/>
    <s v="ORCL IN OSSI"/>
    <s v="504526 - 96V:GSC-DB &amp; Options"/>
    <s v="09B4"/>
    <s v="Y"/>
    <s v="Y"/>
    <s v="Unrecognized"/>
    <n v="8"/>
    <s v="AED"/>
    <n v="71.489999999999995"/>
    <n v="542.25"/>
    <n v="571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4994"/>
    <s v="1523089243:2"/>
    <s v="1.04.00"/>
    <s v="FP Labor - Remote Services Ctr"/>
    <s v="Labor"/>
    <s v="CO-C"/>
    <d v="2026-01-05T00:00:00"/>
    <x v="1"/>
    <x v="28"/>
    <s v="Employee"/>
    <s v="6"/>
    <s v="ORCL IN OSSI"/>
    <s v="504526 - 96V:GSC-DB &amp; Options"/>
    <s v="09B4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5123"/>
    <s v="1522700751:1"/>
    <s v="1.04.00"/>
    <s v="FP Labor - Remote Services Ctr"/>
    <s v="Labor"/>
    <s v="CO-C"/>
    <d v="2026-01-05T00:00:00"/>
    <x v="1"/>
    <x v="20"/>
    <s v="Employee"/>
    <s v="4"/>
    <s v="ORCL IN OSSI"/>
    <s v="504506 - 94V:GSC-eStudio"/>
    <s v="09B4"/>
    <s v="Y"/>
    <s v="Y"/>
    <s v="Unrecognized"/>
    <n v="8"/>
    <s v="AED"/>
    <n v="71.489999999999995"/>
    <n v="542.25"/>
    <n v="571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70107"/>
    <s v="1522632176:2"/>
    <s v="1.04.00"/>
    <s v="FP Labor - Remote Services Ctr"/>
    <s v="Labor"/>
    <s v="CO-C"/>
    <d v="2026-01-05T00:00:00"/>
    <x v="1"/>
    <x v="21"/>
    <s v="Employee"/>
    <s v="5"/>
    <s v="ORCL IN OSSI"/>
    <s v="504526 - 96V:GSC-DB &amp; Options"/>
    <s v="09B4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9726"/>
    <s v="1522693840:1"/>
    <s v="1.04.00"/>
    <s v="FP Labor - Remote Services Ctr"/>
    <s v="Labor"/>
    <s v="CO-C"/>
    <d v="2026-01-05T00:00:00"/>
    <x v="1"/>
    <x v="29"/>
    <s v="Employee"/>
    <s v="6"/>
    <s v="ORCL IN OSSI"/>
    <s v="504506 - 94V:GSC-eStudio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8351"/>
    <s v="3029619346562981"/>
    <s v="1.04.00"/>
    <s v="FP Labor - Remote Services Ctr"/>
    <s v="Labor"/>
    <s v="CO-C"/>
    <d v="2026-01-05T00:00:00"/>
    <x v="1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07823"/>
    <s v="3029618334417861"/>
    <s v="1.04.00"/>
    <s v="FP Labor - Remote Services Ctr"/>
    <s v="Labor"/>
    <s v="CO-C"/>
    <d v="2026-01-05T00:00:00"/>
    <x v="1"/>
    <x v="13"/>
    <s v="Employee"/>
    <s v="8"/>
    <s v="ORCL EG"/>
    <s v="502416 - 3WP-EMEA Delivery Middleware - IaaS"/>
    <s v="008U"/>
    <s v="Y"/>
    <s v="Y"/>
    <s v="Unrecognized"/>
    <n v="8"/>
    <s v="AED"/>
    <n v="106.65"/>
    <n v="943.05"/>
    <n v="853.2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1256"/>
    <s v="1522747646:1"/>
    <s v="1.04.00"/>
    <s v="FP Labor - Remote Services Ctr"/>
    <s v="Labor"/>
    <s v="CO-C"/>
    <d v="2026-01-05T00:00:00"/>
    <x v="1"/>
    <x v="22"/>
    <s v="Employee"/>
    <s v="6"/>
    <s v="ORCL IN OSSI"/>
    <s v="504526 - 96V:GSC-DB &amp; Options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6736"/>
    <s v="3029625389420171"/>
    <s v="1.04.00"/>
    <s v="FP Labor - Remote Services Ctr"/>
    <s v="Labor"/>
    <s v="CO-C"/>
    <d v="2026-01-05T00:00:00"/>
    <x v="1"/>
    <x v="30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1582"/>
    <s v="1522732064:1"/>
    <s v="1.04.00"/>
    <s v="FP Labor - Remote Services Ctr"/>
    <s v="Labor"/>
    <s v="CO-C"/>
    <d v="2026-01-05T00:00:00"/>
    <x v="1"/>
    <x v="23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0127"/>
    <s v="1522749955:4"/>
    <s v="1.04.00"/>
    <s v="FP Labor - Remote Services Ctr"/>
    <s v="Labor"/>
    <s v="CO-C"/>
    <d v="2026-01-05T00:00:00"/>
    <x v="1"/>
    <x v="31"/>
    <s v="Employee"/>
    <s v="6"/>
    <s v="ORCL IN OSSI"/>
    <s v="504506 - 94V:GSC-eStudio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4979"/>
    <s v="3029618970845291"/>
    <s v="1.04.00"/>
    <s v="FP Labor - Remote Services Ctr"/>
    <s v="Labor"/>
    <s v="CO-C"/>
    <d v="2026-01-05T00:00:00"/>
    <x v="1"/>
    <x v="24"/>
    <s v="Billable Contractor"/>
    <m/>
    <s v="ORCL IN OSSI"/>
    <s v="504526 - 96V:GSC-DB &amp; Options"/>
    <s v="009B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1038"/>
    <s v="1522743424:1"/>
    <s v="1.04.00"/>
    <s v="FP Labor - Remote Services Ctr"/>
    <s v="Labor"/>
    <s v="CO-C"/>
    <d v="2026-01-05T00:00:00"/>
    <x v="1"/>
    <x v="25"/>
    <s v="Employee"/>
    <s v="7"/>
    <s v="ORCL IN OSSI"/>
    <s v="504506 - 94V:GSC-eStudio"/>
    <s v="009B"/>
    <s v="Y"/>
    <s v="Y"/>
    <s v="Unrecognized"/>
    <n v="8"/>
    <s v="AED"/>
    <n v="114.87"/>
    <n v="813.38"/>
    <n v="918.9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0342"/>
    <s v="1524090277:1"/>
    <s v="1.04.00"/>
    <s v="FP Labor - Remote Services Ctr"/>
    <s v="Labor"/>
    <s v="CO-C"/>
    <d v="2026-01-05T00:00:00"/>
    <x v="1"/>
    <x v="32"/>
    <s v="Employee"/>
    <s v="5"/>
    <s v="ORCL IN OSSI"/>
    <s v="504546 - 98V:GSC-PaaS"/>
    <s v="09B2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5816"/>
    <s v="1522870928:1"/>
    <s v="1.04.00"/>
    <s v="FP Labor - Remote Services Ctr"/>
    <s v="Labor"/>
    <s v="CO-C"/>
    <d v="2026-01-05T00:00:00"/>
    <x v="1"/>
    <x v="33"/>
    <s v="Employee"/>
    <s v="6"/>
    <s v="ORCL IN OSSI"/>
    <s v="504526 - 96V:GSC-DB &amp; Options"/>
    <s v="09B1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62098"/>
    <s v="3029619058367531"/>
    <s v="1.04.00"/>
    <s v="FP Labor - Remote Services Ctr"/>
    <s v="Labor"/>
    <s v="CO-C"/>
    <d v="2026-01-06T00:00:00"/>
    <x v="1"/>
    <x v="2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8373"/>
    <s v="3029619307662881"/>
    <s v="1.04.00"/>
    <s v="FP Labor - Remote Services Ctr"/>
    <s v="Labor"/>
    <s v="CO-C"/>
    <d v="2026-01-06T00:00:00"/>
    <x v="1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5273"/>
    <s v="1522753115:1"/>
    <s v="1.04.00"/>
    <s v="FP Labor - Remote Services Ctr"/>
    <s v="Labor"/>
    <s v="CO-C"/>
    <d v="2026-01-06T00:00:00"/>
    <x v="1"/>
    <x v="15"/>
    <s v="Employee"/>
    <s v="6"/>
    <s v="ORCL IN OSSI"/>
    <s v="504526 - 96V:GSC-DB &amp; Options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5510"/>
    <s v="1522916552:1"/>
    <s v="1.04.00"/>
    <s v="FP Labor - Remote Services Ctr"/>
    <s v="Labor"/>
    <s v="CO-C"/>
    <d v="2026-01-06T00:00:00"/>
    <x v="1"/>
    <x v="27"/>
    <s v="Employee"/>
    <s v="6"/>
    <s v="ORCL IN OSSI"/>
    <s v="504526 - 96V:GSC-DB &amp; Options"/>
    <s v="09B4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9295"/>
    <s v="1522700960:1"/>
    <s v="1.04.00"/>
    <s v="FP Labor - Remote Services Ctr"/>
    <s v="Labor"/>
    <s v="CO-C"/>
    <d v="2026-01-06T00:00:00"/>
    <x v="1"/>
    <x v="16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9293"/>
    <s v="1522792862:1"/>
    <s v="1.04.00"/>
    <s v="FP Labor - Remote Services Ctr"/>
    <s v="Labor"/>
    <s v="CO-C"/>
    <d v="2026-01-06T00:00:00"/>
    <x v="1"/>
    <x v="17"/>
    <s v="Employee"/>
    <s v="5"/>
    <s v="ORCL IN OSSI"/>
    <s v="504526 - 96V:GSC-DB &amp; Options"/>
    <s v="09B3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5981"/>
    <s v="1522659787:1"/>
    <s v="1.04.00"/>
    <s v="FP Labor - Remote Services Ctr"/>
    <s v="Labor"/>
    <s v="CO-C"/>
    <d v="2026-01-06T00:00:00"/>
    <x v="1"/>
    <x v="18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7899"/>
    <s v="1522742446:1"/>
    <s v="1.04.00"/>
    <s v="FP Labor - Remote Services Ctr"/>
    <s v="Labor"/>
    <s v="CO-C"/>
    <d v="2026-01-06T00:00:00"/>
    <x v="1"/>
    <x v="19"/>
    <s v="Employee"/>
    <s v="4"/>
    <s v="ORCL IN OSSI"/>
    <s v="504526 - 96V:GSC-DB &amp; Options"/>
    <s v="09B4"/>
    <s v="Y"/>
    <s v="Y"/>
    <s v="Unrecognized"/>
    <n v="8"/>
    <s v="AED"/>
    <n v="71.489999999999995"/>
    <n v="542.25"/>
    <n v="571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7001"/>
    <s v="1523089244:2"/>
    <s v="1.04.00"/>
    <s v="FP Labor - Remote Services Ctr"/>
    <s v="Labor"/>
    <s v="CO-C"/>
    <d v="2026-01-06T00:00:00"/>
    <x v="1"/>
    <x v="28"/>
    <s v="Employee"/>
    <s v="6"/>
    <s v="ORCL IN OSSI"/>
    <s v="504526 - 96V:GSC-DB &amp; Options"/>
    <s v="09B4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5718"/>
    <s v="1522700752:1"/>
    <s v="1.04.00"/>
    <s v="FP Labor - Remote Services Ctr"/>
    <s v="Labor"/>
    <s v="CO-C"/>
    <d v="2026-01-06T00:00:00"/>
    <x v="1"/>
    <x v="20"/>
    <s v="Employee"/>
    <s v="4"/>
    <s v="ORCL IN OSSI"/>
    <s v="504506 - 94V:GSC-eStudio"/>
    <s v="09B4"/>
    <s v="Y"/>
    <s v="Y"/>
    <s v="Unrecognized"/>
    <n v="8"/>
    <s v="AED"/>
    <n v="71.489999999999995"/>
    <n v="542.25"/>
    <n v="571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5339"/>
    <s v="1522632177:2"/>
    <s v="1.04.00"/>
    <s v="FP Labor - Remote Services Ctr"/>
    <s v="Labor"/>
    <s v="CO-C"/>
    <d v="2026-01-06T00:00:00"/>
    <x v="1"/>
    <x v="21"/>
    <s v="Employee"/>
    <s v="5"/>
    <s v="ORCL IN OSSI"/>
    <s v="504526 - 96V:GSC-DB &amp; Options"/>
    <s v="09B4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8425"/>
    <s v="1522693839:1"/>
    <s v="1.04.00"/>
    <s v="FP Labor - Remote Services Ctr"/>
    <s v="Labor"/>
    <s v="CO-C"/>
    <d v="2026-01-06T00:00:00"/>
    <x v="1"/>
    <x v="29"/>
    <s v="Employee"/>
    <s v="6"/>
    <s v="ORCL IN OSSI"/>
    <s v="504506 - 94V:GSC-eStudio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8348"/>
    <s v="3029619346563001"/>
    <s v="1.04.00"/>
    <s v="FP Labor - Remote Services Ctr"/>
    <s v="Labor"/>
    <s v="CO-C"/>
    <d v="2026-01-06T00:00:00"/>
    <x v="1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07822"/>
    <s v="3029618334417881"/>
    <s v="1.04.00"/>
    <s v="FP Labor - Remote Services Ctr"/>
    <s v="Labor"/>
    <s v="CO-C"/>
    <d v="2026-01-06T00:00:00"/>
    <x v="1"/>
    <x v="13"/>
    <s v="Employee"/>
    <s v="8"/>
    <s v="ORCL EG"/>
    <s v="502416 - 3WP-EMEA Delivery Middleware - IaaS"/>
    <s v="008U"/>
    <s v="Y"/>
    <s v="Y"/>
    <s v="Unrecognized"/>
    <n v="8"/>
    <s v="AED"/>
    <n v="106.65"/>
    <n v="943.05"/>
    <n v="853.2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9065"/>
    <s v="1522747647:1"/>
    <s v="1.04.00"/>
    <s v="FP Labor - Remote Services Ctr"/>
    <s v="Labor"/>
    <s v="CO-C"/>
    <d v="2026-01-06T00:00:00"/>
    <x v="1"/>
    <x v="22"/>
    <s v="Employee"/>
    <s v="6"/>
    <s v="ORCL IN OSSI"/>
    <s v="504526 - 96V:GSC-DB &amp; Options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6735"/>
    <s v="3029625389420191"/>
    <s v="1.04.00"/>
    <s v="FP Labor - Remote Services Ctr"/>
    <s v="Labor"/>
    <s v="CO-C"/>
    <d v="2026-01-06T00:00:00"/>
    <x v="1"/>
    <x v="30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18621"/>
    <s v="1522732065:1"/>
    <s v="1.04.00"/>
    <s v="FP Labor - Remote Services Ctr"/>
    <s v="Labor"/>
    <s v="CO-C"/>
    <d v="2026-01-06T00:00:00"/>
    <x v="1"/>
    <x v="23"/>
    <s v="Employee"/>
    <s v="5"/>
    <s v="ORCL IN OSSI"/>
    <s v="504526 - 96V:GSC-DB &amp; Options"/>
    <s v="09B1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5311"/>
    <s v="1522749956:4"/>
    <s v="1.04.00"/>
    <s v="FP Labor - Remote Services Ctr"/>
    <s v="Labor"/>
    <s v="CO-C"/>
    <d v="2026-01-06T00:00:00"/>
    <x v="1"/>
    <x v="31"/>
    <s v="Employee"/>
    <s v="6"/>
    <s v="ORCL IN OSSI"/>
    <s v="504506 - 94V:GSC-eStudio"/>
    <s v="09B2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4978"/>
    <s v="3029618970845311"/>
    <s v="1.04.00"/>
    <s v="FP Labor - Remote Services Ctr"/>
    <s v="Labor"/>
    <s v="CO-C"/>
    <d v="2026-01-06T00:00:00"/>
    <x v="1"/>
    <x v="24"/>
    <s v="Billable Contractor"/>
    <m/>
    <s v="ORCL IN OSSI"/>
    <s v="504526 - 96V:GSC-DB &amp; Options"/>
    <s v="009B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0246"/>
    <s v="1522743425:1"/>
    <s v="1.04.00"/>
    <s v="FP Labor - Remote Services Ctr"/>
    <s v="Labor"/>
    <s v="CO-C"/>
    <d v="2026-01-06T00:00:00"/>
    <x v="1"/>
    <x v="25"/>
    <s v="Employee"/>
    <s v="7"/>
    <s v="ORCL IN OSSI"/>
    <s v="504506 - 94V:GSC-eStudio"/>
    <s v="009B"/>
    <s v="Y"/>
    <s v="Y"/>
    <s v="Unrecognized"/>
    <n v="8"/>
    <s v="AED"/>
    <n v="114.87"/>
    <n v="813.38"/>
    <n v="918.9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0188"/>
    <s v="1524090278:1"/>
    <s v="1.04.00"/>
    <s v="FP Labor - Remote Services Ctr"/>
    <s v="Labor"/>
    <s v="CO-C"/>
    <d v="2026-01-06T00:00:00"/>
    <x v="1"/>
    <x v="32"/>
    <s v="Employee"/>
    <s v="5"/>
    <s v="ORCL IN OSSI"/>
    <s v="504546 - 98V:GSC-PaaS"/>
    <s v="09B2"/>
    <s v="Y"/>
    <s v="Y"/>
    <s v="Unrecognized"/>
    <n v="8"/>
    <s v="AED"/>
    <n v="71.489999999999995"/>
    <n v="660.13"/>
    <n v="571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6550"/>
    <s v="1522870929:1"/>
    <s v="1.04.00"/>
    <s v="FP Labor - Remote Services Ctr"/>
    <s v="Labor"/>
    <s v="CO-C"/>
    <d v="2026-01-06T00:00:00"/>
    <x v="1"/>
    <x v="33"/>
    <s v="Employee"/>
    <s v="6"/>
    <s v="ORCL IN OSSI"/>
    <s v="504526 - 96V:GSC-DB &amp; Options"/>
    <s v="09B1"/>
    <s v="Y"/>
    <s v="Y"/>
    <s v="Unrecognized"/>
    <n v="8"/>
    <s v="AED"/>
    <n v="114.87"/>
    <n v="754.44"/>
    <n v="918.9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7062"/>
    <s v="1522753114:1"/>
    <s v="1.04.00"/>
    <s v="FP Labor - Remote Services Ctr"/>
    <s v="Labor"/>
    <s v="CO-C"/>
    <d v="2026-01-07T00:00:00"/>
    <x v="1"/>
    <x v="15"/>
    <s v="Employee"/>
    <s v="6"/>
    <s v="ORCL IN OSSI"/>
    <s v="504526 - 96V:GSC-DB &amp; Options"/>
    <s v="09B2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9570"/>
    <s v="1522916553:1"/>
    <s v="1.04.00"/>
    <s v="FP Labor - Remote Services Ctr"/>
    <s v="Labor"/>
    <s v="CO-C"/>
    <d v="2026-01-07T00:00:00"/>
    <x v="1"/>
    <x v="27"/>
    <s v="Employee"/>
    <s v="6"/>
    <s v="ORCL IN OSSI"/>
    <s v="504526 - 96V:GSC-DB &amp; Options"/>
    <s v="09B4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19823"/>
    <s v="1522700961:1"/>
    <s v="1.04.00"/>
    <s v="FP Labor - Remote Services Ctr"/>
    <s v="Labor"/>
    <s v="CO-C"/>
    <d v="2026-01-07T00:00:00"/>
    <x v="1"/>
    <x v="16"/>
    <s v="Employee"/>
    <s v="5"/>
    <s v="ORCL IN OSSI"/>
    <s v="504526 - 96V:GSC-DB &amp; Options"/>
    <s v="09B1"/>
    <s v="Y"/>
    <s v="Y"/>
    <s v="Unrecognized"/>
    <n v="8"/>
    <s v="AED"/>
    <n v="71.2"/>
    <n v="660.13"/>
    <n v="569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8113"/>
    <s v="1522792861:1"/>
    <s v="1.04.00"/>
    <s v="FP Labor - Remote Services Ctr"/>
    <s v="Labor"/>
    <s v="CO-C"/>
    <d v="2026-01-07T00:00:00"/>
    <x v="1"/>
    <x v="17"/>
    <s v="Employee"/>
    <s v="5"/>
    <s v="ORCL IN OSSI"/>
    <s v="504526 - 96V:GSC-DB &amp; Options"/>
    <s v="09B3"/>
    <s v="Y"/>
    <s v="Y"/>
    <s v="Unrecognized"/>
    <n v="8"/>
    <s v="AED"/>
    <n v="71.2"/>
    <n v="660.13"/>
    <n v="569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5532"/>
    <s v="1522659789:1"/>
    <s v="1.04.00"/>
    <s v="FP Labor - Remote Services Ctr"/>
    <s v="Labor"/>
    <s v="CO-C"/>
    <d v="2026-01-07T00:00:00"/>
    <x v="1"/>
    <x v="18"/>
    <s v="Employee"/>
    <s v="5"/>
    <s v="ORCL IN OSSI"/>
    <s v="504526 - 96V:GSC-DB &amp; Options"/>
    <s v="09B1"/>
    <s v="Y"/>
    <s v="Y"/>
    <s v="Unrecognized"/>
    <n v="8"/>
    <s v="AED"/>
    <n v="71.2"/>
    <n v="660.13"/>
    <n v="569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1612"/>
    <s v="1522742445:1"/>
    <s v="1.04.00"/>
    <s v="FP Labor - Remote Services Ctr"/>
    <s v="Labor"/>
    <s v="CO-C"/>
    <d v="2026-01-07T00:00:00"/>
    <x v="1"/>
    <x v="19"/>
    <s v="Employee"/>
    <s v="4"/>
    <s v="ORCL IN OSSI"/>
    <s v="504526 - 96V:GSC-DB &amp; Options"/>
    <s v="09B4"/>
    <s v="Y"/>
    <s v="Y"/>
    <s v="Unrecognized"/>
    <n v="8"/>
    <s v="AED"/>
    <n v="71.2"/>
    <n v="542.25"/>
    <n v="569.6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4522"/>
    <s v="1523089245:2"/>
    <s v="1.04.00"/>
    <s v="FP Labor - Remote Services Ctr"/>
    <s v="Labor"/>
    <s v="CO-C"/>
    <d v="2026-01-07T00:00:00"/>
    <x v="1"/>
    <x v="28"/>
    <s v="Employee"/>
    <s v="6"/>
    <s v="ORCL IN OSSI"/>
    <s v="504526 - 96V:GSC-DB &amp; Options"/>
    <s v="09B4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1439"/>
    <s v="1522700753:1"/>
    <s v="1.04.00"/>
    <s v="FP Labor - Remote Services Ctr"/>
    <s v="Labor"/>
    <s v="CO-C"/>
    <d v="2026-01-07T00:00:00"/>
    <x v="1"/>
    <x v="20"/>
    <s v="Employee"/>
    <s v="4"/>
    <s v="ORCL IN OSSI"/>
    <s v="504506 - 94V:GSC-eStudio"/>
    <s v="09B4"/>
    <s v="Y"/>
    <s v="Y"/>
    <s v="Unrecognized"/>
    <n v="8"/>
    <s v="AED"/>
    <n v="71.2"/>
    <n v="542.25"/>
    <n v="569.6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5724"/>
    <s v="1522632178:2"/>
    <s v="1.04.00"/>
    <s v="FP Labor - Remote Services Ctr"/>
    <s v="Labor"/>
    <s v="CO-C"/>
    <d v="2026-01-07T00:00:00"/>
    <x v="1"/>
    <x v="21"/>
    <s v="Employee"/>
    <s v="5"/>
    <s v="ORCL IN OSSI"/>
    <s v="504526 - 96V:GSC-DB &amp; Options"/>
    <s v="09B4"/>
    <s v="Y"/>
    <s v="Y"/>
    <s v="Unrecognized"/>
    <n v="8"/>
    <s v="AED"/>
    <n v="71.2"/>
    <n v="660.13"/>
    <n v="569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5751"/>
    <s v="1522693838:1"/>
    <s v="1.04.00"/>
    <s v="FP Labor - Remote Services Ctr"/>
    <s v="Labor"/>
    <s v="CO-C"/>
    <d v="2026-01-07T00:00:00"/>
    <x v="1"/>
    <x v="29"/>
    <s v="Employee"/>
    <s v="6"/>
    <s v="ORCL IN OSSI"/>
    <s v="504506 - 94V:GSC-eStudio"/>
    <s v="09B2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8347"/>
    <s v="3029619346563021"/>
    <s v="1.04.00"/>
    <s v="FP Labor - Remote Services Ctr"/>
    <s v="Labor"/>
    <s v="CO-C"/>
    <d v="2026-01-07T00:00:00"/>
    <x v="1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5987"/>
    <s v="1522747648:1"/>
    <s v="1.04.00"/>
    <s v="FP Labor - Remote Services Ctr"/>
    <s v="Labor"/>
    <s v="CO-C"/>
    <d v="2026-01-07T00:00:00"/>
    <x v="1"/>
    <x v="22"/>
    <s v="Employee"/>
    <s v="6"/>
    <s v="ORCL IN OSSI"/>
    <s v="504526 - 96V:GSC-DB &amp; Options"/>
    <s v="09B2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6810"/>
    <s v="3029625389420211"/>
    <s v="1.04.00"/>
    <s v="FP Labor - Remote Services Ctr"/>
    <s v="Labor"/>
    <s v="CO-C"/>
    <d v="2026-01-07T00:00:00"/>
    <x v="1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18834"/>
    <s v="1522732066:1"/>
    <s v="1.04.00"/>
    <s v="FP Labor - Remote Services Ctr"/>
    <s v="Labor"/>
    <s v="CO-C"/>
    <d v="2026-01-07T00:00:00"/>
    <x v="1"/>
    <x v="23"/>
    <s v="Employee"/>
    <s v="5"/>
    <s v="ORCL IN OSSI"/>
    <s v="504526 - 96V:GSC-DB &amp; Options"/>
    <s v="09B1"/>
    <s v="Y"/>
    <s v="Y"/>
    <s v="Unrecognized"/>
    <n v="8"/>
    <s v="AED"/>
    <n v="71.2"/>
    <n v="660.13"/>
    <n v="569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3477"/>
    <s v="1522750595:2"/>
    <s v="1.04.00"/>
    <s v="FP Labor - Remote Services Ctr"/>
    <s v="Labor"/>
    <s v="CO-C"/>
    <d v="2026-01-07T00:00:00"/>
    <x v="1"/>
    <x v="31"/>
    <s v="Employee"/>
    <s v="6"/>
    <s v="ORCL IN OSSI"/>
    <s v="504506 - 94V:GSC-eStudio"/>
    <s v="09B2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11071"/>
    <s v="3029618970845331"/>
    <s v="1.04.00"/>
    <s v="FP Labor - Remote Services Ctr"/>
    <s v="Labor"/>
    <s v="CO-C"/>
    <d v="2026-01-07T00:00:00"/>
    <x v="1"/>
    <x v="24"/>
    <s v="Billable Contractor"/>
    <m/>
    <s v="ORCL IN OSSI"/>
    <s v="504526 - 96V:GSC-DB &amp; Options"/>
    <s v="009B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3742"/>
    <s v="1522743426:1"/>
    <s v="1.04.00"/>
    <s v="FP Labor - Remote Services Ctr"/>
    <s v="Labor"/>
    <s v="CO-C"/>
    <d v="2026-01-07T00:00:00"/>
    <x v="1"/>
    <x v="25"/>
    <s v="Employee"/>
    <s v="7"/>
    <s v="ORCL IN OSSI"/>
    <s v="504506 - 94V:GSC-eStudio"/>
    <s v="009B"/>
    <s v="Y"/>
    <s v="Y"/>
    <s v="Unrecognized"/>
    <n v="8"/>
    <s v="AED"/>
    <n v="114.41"/>
    <n v="813.38"/>
    <n v="915.29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176"/>
    <s v="1524090279:1"/>
    <s v="1.04.00"/>
    <s v="FP Labor - Remote Services Ctr"/>
    <s v="Labor"/>
    <s v="CO-C"/>
    <d v="2026-01-07T00:00:00"/>
    <x v="1"/>
    <x v="32"/>
    <s v="Employee"/>
    <s v="5"/>
    <s v="ORCL IN OSSI"/>
    <s v="504546 - 98V:GSC-PaaS"/>
    <s v="09B2"/>
    <s v="Y"/>
    <s v="Y"/>
    <s v="Unrecognized"/>
    <n v="8"/>
    <s v="AED"/>
    <n v="71.2"/>
    <n v="660.13"/>
    <n v="569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6668"/>
    <s v="1522870930:1"/>
    <s v="1.04.00"/>
    <s v="FP Labor - Remote Services Ctr"/>
    <s v="Labor"/>
    <s v="CO-C"/>
    <d v="2026-01-07T00:00:00"/>
    <x v="1"/>
    <x v="33"/>
    <s v="Employee"/>
    <s v="6"/>
    <s v="ORCL IN OSSI"/>
    <s v="504526 - 96V:GSC-DB &amp; Options"/>
    <s v="09B1"/>
    <s v="Y"/>
    <s v="Y"/>
    <s v="Unrecognized"/>
    <n v="8"/>
    <s v="AED"/>
    <n v="114.41"/>
    <n v="754.44"/>
    <n v="915.2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9737"/>
    <s v="1522753113:1"/>
    <s v="1.04.00"/>
    <s v="FP Labor - Remote Services Ctr"/>
    <s v="Labor"/>
    <s v="CO-C"/>
    <d v="2026-01-08T00:00:00"/>
    <x v="1"/>
    <x v="15"/>
    <s v="Employee"/>
    <s v="6"/>
    <s v="ORCL IN OSSI"/>
    <s v="504526 - 96V:GSC-DB &amp; Options"/>
    <s v="09B2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4830"/>
    <s v="1522916554:1"/>
    <s v="1.04.00"/>
    <s v="FP Labor - Remote Services Ctr"/>
    <s v="Labor"/>
    <s v="CO-C"/>
    <d v="2026-01-08T00:00:00"/>
    <x v="1"/>
    <x v="27"/>
    <s v="Employee"/>
    <s v="6"/>
    <s v="ORCL IN OSSI"/>
    <s v="504526 - 96V:GSC-DB &amp; Options"/>
    <s v="09B4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8551"/>
    <s v="1522700962:1"/>
    <s v="1.04.00"/>
    <s v="FP Labor - Remote Services Ctr"/>
    <s v="Labor"/>
    <s v="CO-C"/>
    <d v="2026-01-08T00:00:00"/>
    <x v="1"/>
    <x v="16"/>
    <s v="Employee"/>
    <s v="5"/>
    <s v="ORCL IN OSSI"/>
    <s v="504526 - 96V:GSC-DB &amp; Options"/>
    <s v="09B1"/>
    <s v="Y"/>
    <s v="Y"/>
    <s v="Unrecognized"/>
    <n v="8"/>
    <s v="AED"/>
    <n v="71.430000000000007"/>
    <n v="660.13"/>
    <n v="571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3408"/>
    <s v="1522659792:2"/>
    <s v="1.04.00"/>
    <s v="FP Labor - Remote Services Ctr"/>
    <s v="Labor"/>
    <s v="CO-C"/>
    <d v="2026-01-08T00:00:00"/>
    <x v="1"/>
    <x v="18"/>
    <s v="Employee"/>
    <s v="5"/>
    <s v="ORCL IN OSSI"/>
    <s v="504526 - 96V:GSC-DB &amp; Options"/>
    <s v="09B1"/>
    <s v="Y"/>
    <s v="Y"/>
    <s v="Unrecognized"/>
    <n v="8"/>
    <s v="AED"/>
    <n v="71.430000000000007"/>
    <n v="660.13"/>
    <n v="571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6146"/>
    <s v="1522742444:1"/>
    <s v="1.04.00"/>
    <s v="FP Labor - Remote Services Ctr"/>
    <s v="Labor"/>
    <s v="CO-C"/>
    <d v="2026-01-08T00:00:00"/>
    <x v="1"/>
    <x v="19"/>
    <s v="Employee"/>
    <s v="4"/>
    <s v="ORCL IN OSSI"/>
    <s v="504526 - 96V:GSC-DB &amp; Options"/>
    <s v="09B4"/>
    <s v="Y"/>
    <s v="Y"/>
    <s v="Unrecognized"/>
    <n v="8"/>
    <s v="AED"/>
    <n v="71.430000000000007"/>
    <n v="542.25"/>
    <n v="571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4778"/>
    <s v="1523089247:2"/>
    <s v="1.04.00"/>
    <s v="FP Labor - Remote Services Ctr"/>
    <s v="Labor"/>
    <s v="CO-C"/>
    <d v="2026-01-08T00:00:00"/>
    <x v="1"/>
    <x v="28"/>
    <s v="Employee"/>
    <s v="6"/>
    <s v="ORCL IN OSSI"/>
    <s v="504526 - 96V:GSC-DB &amp; Options"/>
    <s v="09B4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8362"/>
    <s v="1522700754:1"/>
    <s v="1.04.00"/>
    <s v="FP Labor - Remote Services Ctr"/>
    <s v="Labor"/>
    <s v="CO-C"/>
    <d v="2026-01-08T00:00:00"/>
    <x v="1"/>
    <x v="20"/>
    <s v="Employee"/>
    <s v="4"/>
    <s v="ORCL IN OSSI"/>
    <s v="504506 - 94V:GSC-eStudio"/>
    <s v="09B4"/>
    <s v="Y"/>
    <s v="Y"/>
    <s v="Unrecognized"/>
    <n v="8"/>
    <s v="AED"/>
    <n v="71.430000000000007"/>
    <n v="542.25"/>
    <n v="571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4077"/>
    <s v="1522632180:2"/>
    <s v="1.04.00"/>
    <s v="FP Labor - Remote Services Ctr"/>
    <s v="Labor"/>
    <s v="CO-C"/>
    <d v="2026-01-08T00:00:00"/>
    <x v="1"/>
    <x v="21"/>
    <s v="Employee"/>
    <s v="5"/>
    <s v="ORCL IN OSSI"/>
    <s v="504526 - 96V:GSC-DB &amp; Options"/>
    <s v="09B4"/>
    <s v="Y"/>
    <s v="Y"/>
    <s v="Unrecognized"/>
    <n v="8"/>
    <s v="AED"/>
    <n v="71.430000000000007"/>
    <n v="660.13"/>
    <n v="571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8426"/>
    <s v="1522693837:1"/>
    <s v="1.04.00"/>
    <s v="FP Labor - Remote Services Ctr"/>
    <s v="Labor"/>
    <s v="CO-C"/>
    <d v="2026-01-08T00:00:00"/>
    <x v="1"/>
    <x v="29"/>
    <s v="Employee"/>
    <s v="6"/>
    <s v="ORCL IN OSSI"/>
    <s v="504506 - 94V:GSC-eStudio"/>
    <s v="09B2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8346"/>
    <s v="3029619346563041"/>
    <s v="1.04.00"/>
    <s v="FP Labor - Remote Services Ctr"/>
    <s v="Labor"/>
    <s v="CO-C"/>
    <d v="2026-01-08T00:00:00"/>
    <x v="1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0993791"/>
    <s v="3029618334417921"/>
    <s v="1.04.00"/>
    <s v="FP Labor - Remote Services Ctr"/>
    <s v="Labor"/>
    <s v="CO-C"/>
    <d v="2026-01-08T00:00:00"/>
    <x v="1"/>
    <x v="13"/>
    <s v="Employee"/>
    <s v="8"/>
    <s v="ORCL EG"/>
    <s v="502416 - 3WP-EMEA Delivery Middleware - IaaS"/>
    <s v="008U"/>
    <s v="Y"/>
    <s v="Y"/>
    <s v="Unrecognized"/>
    <n v="8"/>
    <s v="AED"/>
    <n v="107.01"/>
    <n v="943.05"/>
    <n v="856.1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5058"/>
    <s v="1522747649:1"/>
    <s v="1.04.00"/>
    <s v="FP Labor - Remote Services Ctr"/>
    <s v="Labor"/>
    <s v="CO-C"/>
    <d v="2026-01-08T00:00:00"/>
    <x v="1"/>
    <x v="22"/>
    <s v="Employee"/>
    <s v="6"/>
    <s v="ORCL IN OSSI"/>
    <s v="504526 - 96V:GSC-DB &amp; Options"/>
    <s v="09B2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6809"/>
    <s v="3029625389420231"/>
    <s v="1.04.00"/>
    <s v="FP Labor - Remote Services Ctr"/>
    <s v="Labor"/>
    <s v="CO-C"/>
    <d v="2026-01-08T00:00:00"/>
    <x v="1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2008"/>
    <s v="1522732068:1"/>
    <s v="1.04.00"/>
    <s v="FP Labor - Remote Services Ctr"/>
    <s v="Labor"/>
    <s v="CO-C"/>
    <d v="2026-01-08T00:00:00"/>
    <x v="1"/>
    <x v="23"/>
    <s v="Employee"/>
    <s v="5"/>
    <s v="ORCL IN OSSI"/>
    <s v="504526 - 96V:GSC-DB &amp; Options"/>
    <s v="09B1"/>
    <s v="Y"/>
    <s v="Y"/>
    <s v="Unrecognized"/>
    <n v="8"/>
    <s v="AED"/>
    <n v="71.430000000000007"/>
    <n v="660.13"/>
    <n v="571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27436"/>
    <s v="1522749958:4"/>
    <s v="1.04.00"/>
    <s v="FP Labor - Remote Services Ctr"/>
    <s v="Labor"/>
    <s v="CO-C"/>
    <d v="2026-01-08T00:00:00"/>
    <x v="1"/>
    <x v="31"/>
    <s v="Employee"/>
    <s v="6"/>
    <s v="ORCL IN OSSI"/>
    <s v="504506 - 94V:GSC-eStudio"/>
    <s v="09B2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11070"/>
    <s v="3029618970845351"/>
    <s v="1.04.00"/>
    <s v="FP Labor - Remote Services Ctr"/>
    <s v="Labor"/>
    <s v="CO-C"/>
    <d v="2026-01-08T00:00:00"/>
    <x v="1"/>
    <x v="24"/>
    <s v="Billable Contractor"/>
    <m/>
    <s v="ORCL IN OSSI"/>
    <s v="504526 - 96V:GSC-DB &amp; Options"/>
    <s v="009B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31397"/>
    <s v="1522743428:1"/>
    <s v="1.04.00"/>
    <s v="FP Labor - Remote Services Ctr"/>
    <s v="Labor"/>
    <s v="CO-C"/>
    <d v="2026-01-08T00:00:00"/>
    <x v="1"/>
    <x v="25"/>
    <s v="Employee"/>
    <s v="7"/>
    <s v="ORCL IN OSSI"/>
    <s v="504506 - 94V:GSC-eStudio"/>
    <s v="009B"/>
    <s v="Y"/>
    <s v="Y"/>
    <s v="Unrecognized"/>
    <n v="8"/>
    <s v="AED"/>
    <n v="114.78"/>
    <n v="813.38"/>
    <n v="918.2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441"/>
    <s v="1524090281:1"/>
    <s v="1.04.00"/>
    <s v="FP Labor - Remote Services Ctr"/>
    <s v="Labor"/>
    <s v="CO-C"/>
    <d v="2026-01-08T00:00:00"/>
    <x v="1"/>
    <x v="32"/>
    <s v="Employee"/>
    <s v="5"/>
    <s v="ORCL IN OSSI"/>
    <s v="504546 - 98V:GSC-PaaS"/>
    <s v="09B2"/>
    <s v="Y"/>
    <s v="Y"/>
    <s v="Unrecognized"/>
    <n v="8"/>
    <s v="AED"/>
    <n v="71.430000000000007"/>
    <n v="660.13"/>
    <n v="571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59412"/>
    <s v="1522870931:1"/>
    <s v="1.04.00"/>
    <s v="FP Labor - Remote Services Ctr"/>
    <s v="Labor"/>
    <s v="CO-C"/>
    <d v="2026-01-08T00:00:00"/>
    <x v="1"/>
    <x v="33"/>
    <s v="Employee"/>
    <s v="6"/>
    <s v="ORCL IN OSSI"/>
    <s v="504526 - 96V:GSC-DB &amp; Options"/>
    <s v="09B1"/>
    <s v="Y"/>
    <s v="Y"/>
    <s v="Unrecognized"/>
    <n v="8"/>
    <s v="AED"/>
    <n v="114.78"/>
    <n v="754.44"/>
    <n v="918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3182"/>
    <s v="1522753112:1"/>
    <s v="1.04.00"/>
    <s v="FP Labor - Remote Services Ctr"/>
    <s v="Labor"/>
    <s v="CO-C"/>
    <d v="2026-01-09T00:00:00"/>
    <x v="1"/>
    <x v="15"/>
    <s v="Employee"/>
    <s v="6"/>
    <s v="ORCL IN OSSI"/>
    <s v="504526 - 96V:GSC-DB &amp; Options"/>
    <s v="09B2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86498"/>
    <s v="1522916555:1"/>
    <s v="1.04.00"/>
    <s v="FP Labor - Remote Services Ctr"/>
    <s v="Labor"/>
    <s v="CO-C"/>
    <d v="2026-01-09T00:00:00"/>
    <x v="1"/>
    <x v="27"/>
    <s v="Employee"/>
    <s v="6"/>
    <s v="ORCL IN OSSI"/>
    <s v="504526 - 96V:GSC-DB &amp; Options"/>
    <s v="09B4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86829"/>
    <s v="1522700963:1"/>
    <s v="1.04.00"/>
    <s v="FP Labor - Remote Services Ctr"/>
    <s v="Labor"/>
    <s v="CO-C"/>
    <d v="2026-01-09T00:00:00"/>
    <x v="1"/>
    <x v="16"/>
    <s v="Employee"/>
    <s v="5"/>
    <s v="ORCL IN OSSI"/>
    <s v="504526 - 96V:GSC-DB &amp; Options"/>
    <s v="09B1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1968"/>
    <s v="1522792860:1"/>
    <s v="1.04.00"/>
    <s v="FP Labor - Remote Services Ctr"/>
    <s v="Labor"/>
    <s v="CO-C"/>
    <d v="2026-01-09T00:00:00"/>
    <x v="1"/>
    <x v="17"/>
    <s v="Employee"/>
    <s v="5"/>
    <s v="ORCL IN OSSI"/>
    <s v="504526 - 96V:GSC-DB &amp; Options"/>
    <s v="09B3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2806"/>
    <s v="1522659793:1"/>
    <s v="1.04.00"/>
    <s v="FP Labor - Remote Services Ctr"/>
    <s v="Labor"/>
    <s v="CO-C"/>
    <d v="2026-01-09T00:00:00"/>
    <x v="1"/>
    <x v="18"/>
    <s v="Employee"/>
    <s v="5"/>
    <s v="ORCL IN OSSI"/>
    <s v="504526 - 96V:GSC-DB &amp; Options"/>
    <s v="09B1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4799"/>
    <s v="1522742443:1"/>
    <s v="1.04.00"/>
    <s v="FP Labor - Remote Services Ctr"/>
    <s v="Labor"/>
    <s v="CO-C"/>
    <d v="2026-01-09T00:00:00"/>
    <x v="1"/>
    <x v="19"/>
    <s v="Employee"/>
    <s v="4"/>
    <s v="ORCL IN OSSI"/>
    <s v="504526 - 96V:GSC-DB &amp; Options"/>
    <s v="09B4"/>
    <s v="Y"/>
    <s v="Y"/>
    <s v="Unrecognized"/>
    <n v="8"/>
    <s v="AED"/>
    <n v="71.319999999999993"/>
    <n v="542.25"/>
    <n v="570.55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5124"/>
    <s v="1523089246:2"/>
    <s v="1.04.00"/>
    <s v="FP Labor - Remote Services Ctr"/>
    <s v="Labor"/>
    <s v="CO-C"/>
    <d v="2026-01-09T00:00:00"/>
    <x v="1"/>
    <x v="28"/>
    <s v="Employee"/>
    <s v="6"/>
    <s v="ORCL IN OSSI"/>
    <s v="504526 - 96V:GSC-DB &amp; Options"/>
    <s v="09B4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3664"/>
    <s v="1522700755:1"/>
    <s v="1.04.00"/>
    <s v="FP Labor - Remote Services Ctr"/>
    <s v="Labor"/>
    <s v="CO-C"/>
    <d v="2026-01-09T00:00:00"/>
    <x v="1"/>
    <x v="20"/>
    <s v="Employee"/>
    <s v="4"/>
    <s v="ORCL IN OSSI"/>
    <s v="504506 - 94V:GSC-eStudio"/>
    <s v="09B4"/>
    <s v="Y"/>
    <s v="Y"/>
    <s v="Unrecognized"/>
    <n v="8"/>
    <s v="AED"/>
    <n v="71.319999999999993"/>
    <n v="542.25"/>
    <n v="570.55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4667"/>
    <s v="1522632179:2"/>
    <s v="1.04.00"/>
    <s v="FP Labor - Remote Services Ctr"/>
    <s v="Labor"/>
    <s v="CO-C"/>
    <d v="2026-01-09T00:00:00"/>
    <x v="1"/>
    <x v="21"/>
    <s v="Employee"/>
    <s v="5"/>
    <s v="ORCL IN OSSI"/>
    <s v="504526 - 96V:GSC-DB &amp; Options"/>
    <s v="09B4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6755"/>
    <s v="1522693836:1"/>
    <s v="1.04.00"/>
    <s v="FP Labor - Remote Services Ctr"/>
    <s v="Labor"/>
    <s v="CO-C"/>
    <d v="2026-01-09T00:00:00"/>
    <x v="1"/>
    <x v="29"/>
    <s v="Employee"/>
    <s v="6"/>
    <s v="ORCL IN OSSI"/>
    <s v="504506 - 94V:GSC-eStudio"/>
    <s v="09B2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8345"/>
    <s v="3029619346563061"/>
    <s v="1.04.00"/>
    <s v="FP Labor - Remote Services Ctr"/>
    <s v="Labor"/>
    <s v="CO-C"/>
    <d v="2026-01-09T00:00:00"/>
    <x v="1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73"/>
    <s v="3029631826622811"/>
    <s v="1.04.00"/>
    <s v="FP Labor - Remote Services Ctr"/>
    <s v="Labor"/>
    <s v="CO-C"/>
    <d v="2026-01-09T00:00:00"/>
    <x v="1"/>
    <x v="13"/>
    <s v="Employee"/>
    <s v="8"/>
    <s v="ORCL EG"/>
    <s v="502416 - 3WP-EMEA Delivery Middleware - IaaS"/>
    <s v="008U"/>
    <s v="Y"/>
    <s v="Y"/>
    <s v="Unrecognized"/>
    <n v="8"/>
    <s v="AED"/>
    <n v="107.06"/>
    <n v="943.05"/>
    <n v="856.4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3897"/>
    <s v="1522747650:1"/>
    <s v="1.04.00"/>
    <s v="FP Labor - Remote Services Ctr"/>
    <s v="Labor"/>
    <s v="CO-C"/>
    <d v="2026-01-09T00:00:00"/>
    <x v="1"/>
    <x v="22"/>
    <s v="Employee"/>
    <s v="6"/>
    <s v="ORCL IN OSSI"/>
    <s v="504526 - 96V:GSC-DB &amp; Options"/>
    <s v="09B2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0372"/>
    <s v="1522732067:1"/>
    <s v="1.04.00"/>
    <s v="FP Labor - Remote Services Ctr"/>
    <s v="Labor"/>
    <s v="CO-C"/>
    <d v="2026-01-09T00:00:00"/>
    <x v="1"/>
    <x v="23"/>
    <s v="Employee"/>
    <s v="5"/>
    <s v="ORCL IN OSSI"/>
    <s v="504526 - 96V:GSC-DB &amp; Options"/>
    <s v="09B1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7123"/>
    <s v="1522749959:4"/>
    <s v="1.04.00"/>
    <s v="FP Labor - Remote Services Ctr"/>
    <s v="Labor"/>
    <s v="CO-C"/>
    <d v="2026-01-09T00:00:00"/>
    <x v="1"/>
    <x v="31"/>
    <s v="Employee"/>
    <s v="6"/>
    <s v="ORCL IN OSSI"/>
    <s v="504506 - 94V:GSC-eStudio"/>
    <s v="09B2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090160"/>
    <s v="3029618970845371"/>
    <s v="1.04.00"/>
    <s v="FP Labor - Remote Services Ctr"/>
    <s v="Labor"/>
    <s v="CO-C"/>
    <d v="2026-01-09T00:00:00"/>
    <x v="1"/>
    <x v="24"/>
    <s v="Billable Contractor"/>
    <m/>
    <s v="ORCL IN OSSI"/>
    <s v="504526 - 96V:GSC-DB &amp; Options"/>
    <s v="009B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09809"/>
    <s v="1522743427:1"/>
    <s v="1.04.00"/>
    <s v="FP Labor - Remote Services Ctr"/>
    <s v="Labor"/>
    <s v="CO-C"/>
    <d v="2026-01-09T00:00:00"/>
    <x v="1"/>
    <x v="25"/>
    <s v="Employee"/>
    <s v="7"/>
    <s v="ORCL IN OSSI"/>
    <s v="504506 - 94V:GSC-eStudio"/>
    <s v="009B"/>
    <s v="Y"/>
    <s v="Y"/>
    <s v="Unrecognized"/>
    <n v="8"/>
    <s v="AED"/>
    <n v="114.6"/>
    <n v="813.38"/>
    <n v="916.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884"/>
    <s v="1524090280:1"/>
    <s v="1.04.00"/>
    <s v="FP Labor - Remote Services Ctr"/>
    <s v="Labor"/>
    <s v="CO-C"/>
    <d v="2026-01-09T00:00:00"/>
    <x v="1"/>
    <x v="32"/>
    <s v="Employee"/>
    <s v="5"/>
    <s v="ORCL IN OSSI"/>
    <s v="504546 - 98V:GSC-PaaS"/>
    <s v="09B2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116258"/>
    <s v="1522870932:1"/>
    <s v="1.04.00"/>
    <s v="FP Labor - Remote Services Ctr"/>
    <s v="Labor"/>
    <s v="CO-C"/>
    <d v="2026-01-09T00:00:00"/>
    <x v="1"/>
    <x v="33"/>
    <s v="Employee"/>
    <s v="6"/>
    <s v="ORCL IN OSSI"/>
    <s v="504526 - 96V:GSC-DB &amp; Options"/>
    <s v="09B1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84"/>
    <s v="3029631797669081"/>
    <s v="1.04.00"/>
    <s v="FP Labor - Remote Services Ctr"/>
    <s v="Labor"/>
    <s v="CO-C"/>
    <d v="2026-01-11T00:00:00"/>
    <x v="2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3376"/>
    <s v="3029619061869491"/>
    <s v="1.04.00"/>
    <s v="FP Labor - Remote Services Ctr"/>
    <s v="Labor"/>
    <s v="CO-C"/>
    <d v="2026-01-12T00:00:00"/>
    <x v="2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3380"/>
    <s v="3029619307683431"/>
    <s v="1.04.00"/>
    <s v="FP Labor - Remote Services Ctr"/>
    <s v="Labor"/>
    <s v="CO-C"/>
    <d v="2026-01-12T00:00:00"/>
    <x v="2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0992"/>
    <s v="1522762084:1"/>
    <s v="1.04.00"/>
    <s v="FP Labor - Remote Services Ctr"/>
    <s v="Labor"/>
    <s v="CO-C"/>
    <d v="2026-01-12T00:00:00"/>
    <x v="2"/>
    <x v="15"/>
    <s v="Employee"/>
    <s v="6"/>
    <s v="ORCL IN OSSI"/>
    <s v="504526 - 96V:GSC-DB &amp; Options"/>
    <s v="09B2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7618"/>
    <s v="1522916585:1"/>
    <s v="1.04.00"/>
    <s v="FP Labor - Remote Services Ctr"/>
    <s v="Labor"/>
    <s v="CO-C"/>
    <d v="2026-01-12T00:00:00"/>
    <x v="2"/>
    <x v="27"/>
    <s v="Employee"/>
    <s v="6"/>
    <s v="ORCL IN OSSI"/>
    <s v="504526 - 96V:GSC-DB &amp; Options"/>
    <s v="09B4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1093"/>
    <s v="1522701233:1"/>
    <s v="1.04.00"/>
    <s v="FP Labor - Remote Services Ctr"/>
    <s v="Labor"/>
    <s v="CO-C"/>
    <d v="2026-01-12T00:00:00"/>
    <x v="2"/>
    <x v="16"/>
    <s v="Employee"/>
    <s v="5"/>
    <s v="ORCL IN OSSI"/>
    <s v="504526 - 96V:GSC-DB &amp; Options"/>
    <s v="09B1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6375"/>
    <s v="1522815417:1"/>
    <s v="1.04.00"/>
    <s v="FP Labor - Remote Services Ctr"/>
    <s v="Labor"/>
    <s v="CO-C"/>
    <d v="2026-01-12T00:00:00"/>
    <x v="2"/>
    <x v="17"/>
    <s v="Employee"/>
    <s v="5"/>
    <s v="ORCL IN OSSI"/>
    <s v="504526 - 96V:GSC-DB &amp; Options"/>
    <s v="09B3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6558"/>
    <s v="1522659814:1"/>
    <s v="1.04.00"/>
    <s v="FP Labor - Remote Services Ctr"/>
    <s v="Labor"/>
    <s v="CO-C"/>
    <d v="2026-01-12T00:00:00"/>
    <x v="2"/>
    <x v="18"/>
    <s v="Employee"/>
    <s v="5"/>
    <s v="ORCL IN OSSI"/>
    <s v="504526 - 96V:GSC-DB &amp; Options"/>
    <s v="09B1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44481"/>
    <s v="1523093610:5"/>
    <s v="1.04.00"/>
    <s v="FP Labor - Remote Services Ctr"/>
    <s v="Labor"/>
    <s v="CO-C"/>
    <d v="2026-01-12T00:00:00"/>
    <x v="2"/>
    <x v="28"/>
    <s v="Employee"/>
    <s v="6"/>
    <s v="ORCL IN OSSI"/>
    <s v="504526 - 96V:GSC-DB &amp; Options"/>
    <s v="09B4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0613"/>
    <s v="1523119550:1"/>
    <s v="1.04.00"/>
    <s v="FP Labor - Remote Services Ctr"/>
    <s v="Labor"/>
    <s v="CO-C"/>
    <d v="2026-01-12T00:00:00"/>
    <x v="2"/>
    <x v="20"/>
    <s v="Employee"/>
    <s v="4"/>
    <s v="ORCL IN OSSI"/>
    <s v="504506 - 94V:GSC-eStudio"/>
    <s v="09B4"/>
    <s v="Y"/>
    <s v="Y"/>
    <s v="Unrecognized"/>
    <n v="8"/>
    <s v="AED"/>
    <n v="71.319999999999993"/>
    <n v="542.25"/>
    <n v="570.55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7646"/>
    <s v="1522785035:1"/>
    <s v="1.04.00"/>
    <s v="FP Labor - Remote Services Ctr"/>
    <s v="Labor"/>
    <s v="CO-C"/>
    <d v="2026-01-12T00:00:00"/>
    <x v="2"/>
    <x v="21"/>
    <s v="Employee"/>
    <s v="5"/>
    <s v="ORCL IN OSSI"/>
    <s v="504526 - 96V:GSC-DB &amp; Options"/>
    <s v="09B4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7767"/>
    <s v="1522775281:1"/>
    <s v="1.04.00"/>
    <s v="FP Labor - Remote Services Ctr"/>
    <s v="Labor"/>
    <s v="CO-C"/>
    <d v="2026-01-12T00:00:00"/>
    <x v="2"/>
    <x v="29"/>
    <s v="Employee"/>
    <s v="6"/>
    <s v="ORCL IN OSSI"/>
    <s v="504506 - 94V:GSC-eStudio"/>
    <s v="09B2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3360"/>
    <s v="3029619346184241"/>
    <s v="1.04.00"/>
    <s v="FP Labor - Remote Services Ctr"/>
    <s v="Labor"/>
    <s v="CO-C"/>
    <d v="2026-01-12T00:00:00"/>
    <x v="2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3373"/>
    <s v="3029618336385781"/>
    <s v="1.04.00"/>
    <s v="FP Labor - Remote Services Ctr"/>
    <s v="Labor"/>
    <s v="CO-C"/>
    <d v="2026-01-12T00:00:00"/>
    <x v="2"/>
    <x v="13"/>
    <s v="Employee"/>
    <s v="8"/>
    <s v="ORCL EG"/>
    <s v="502416 - 3WP-EMEA Delivery Middleware - IaaS"/>
    <s v="008U"/>
    <s v="Y"/>
    <s v="Y"/>
    <s v="Unrecognized"/>
    <n v="8"/>
    <s v="AED"/>
    <n v="107.06"/>
    <n v="943.05"/>
    <n v="856.4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1007"/>
    <s v="1523115045:1"/>
    <s v="1.04.00"/>
    <s v="FP Labor - Remote Services Ctr"/>
    <s v="Labor"/>
    <s v="CO-C"/>
    <d v="2026-01-12T00:00:00"/>
    <x v="2"/>
    <x v="22"/>
    <s v="Employee"/>
    <s v="6"/>
    <s v="ORCL IN OSSI"/>
    <s v="504526 - 96V:GSC-DB &amp; Options"/>
    <s v="09B2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6968"/>
    <s v="3029625738174001"/>
    <s v="1.04.00"/>
    <s v="FP Labor - Remote Services Ctr"/>
    <s v="Labor"/>
    <s v="CO-C"/>
    <d v="2026-01-12T00:00:00"/>
    <x v="2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1153"/>
    <s v="1523366631:1"/>
    <s v="1.04.00"/>
    <s v="FP Labor - Remote Services Ctr"/>
    <s v="Labor"/>
    <s v="CO-C"/>
    <d v="2026-01-12T00:00:00"/>
    <x v="2"/>
    <x v="23"/>
    <s v="Employee"/>
    <s v="5"/>
    <s v="ORCL IN OSSI"/>
    <s v="504526 - 96V:GSC-DB &amp; Options"/>
    <s v="09B1"/>
    <s v="Y"/>
    <s v="Y"/>
    <s v="Unrecognized"/>
    <n v="8"/>
    <s v="AED"/>
    <n v="71.319999999999993"/>
    <n v="660.13"/>
    <n v="570.55999999999995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6803"/>
    <s v="1522783936:2"/>
    <s v="1.04.00"/>
    <s v="FP Labor - Remote Services Ctr"/>
    <s v="Labor"/>
    <s v="CO-C"/>
    <d v="2026-01-12T00:00:00"/>
    <x v="2"/>
    <x v="31"/>
    <s v="Employee"/>
    <s v="6"/>
    <s v="ORCL IN OSSI"/>
    <s v="504506 - 94V:GSC-eStudio"/>
    <s v="09B2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14609"/>
    <s v="3029619016060091"/>
    <s v="1.04.00"/>
    <s v="FP Labor - Remote Services Ctr"/>
    <s v="Labor"/>
    <s v="CO-C"/>
    <d v="2026-01-12T00:00:00"/>
    <x v="2"/>
    <x v="24"/>
    <s v="Billable Contractor"/>
    <m/>
    <s v="ORCL IN OSSI"/>
    <s v="504526 - 96V:GSC-DB &amp; Options"/>
    <s v="009B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7367"/>
    <s v="1522963611:1"/>
    <s v="1.04.00"/>
    <s v="FP Labor - Remote Services Ctr"/>
    <s v="Labor"/>
    <s v="CO-C"/>
    <d v="2026-01-12T00:00:00"/>
    <x v="2"/>
    <x v="25"/>
    <s v="Employee"/>
    <s v="7"/>
    <s v="ORCL IN OSSI"/>
    <s v="504506 - 94V:GSC-eStudio"/>
    <s v="009B"/>
    <s v="Y"/>
    <s v="Y"/>
    <s v="Unrecognized"/>
    <n v="8"/>
    <s v="AED"/>
    <n v="114.6"/>
    <n v="813.38"/>
    <n v="916.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17128"/>
    <s v="1524090345:2"/>
    <s v="1.04.00"/>
    <s v="FP Labor - Remote Services Ctr"/>
    <s v="Labor"/>
    <s v="CO-C"/>
    <d v="2026-01-12T00:00:00"/>
    <x v="2"/>
    <x v="32"/>
    <s v="Employee"/>
    <s v="5"/>
    <s v="ORCL IN OSSI"/>
    <s v="504546 - 98V:GSC-PaaS"/>
    <s v="09B2"/>
    <s v="Y"/>
    <s v="Y"/>
    <s v="Unrecognized"/>
    <n v="8"/>
    <s v="AED"/>
    <n v="71.319999999999993"/>
    <n v="660.13"/>
    <n v="570.5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27242"/>
    <s v="1522871025:1"/>
    <s v="1.04.00"/>
    <s v="FP Labor - Remote Services Ctr"/>
    <s v="Labor"/>
    <s v="CO-C"/>
    <d v="2026-01-12T00:00:00"/>
    <x v="2"/>
    <x v="33"/>
    <s v="Employee"/>
    <s v="6"/>
    <s v="ORCL IN OSSI"/>
    <s v="504526 - 96V:GSC-DB &amp; Options"/>
    <s v="09B1"/>
    <s v="Y"/>
    <s v="Y"/>
    <s v="Unrecognized"/>
    <n v="8"/>
    <s v="AED"/>
    <n v="114.6"/>
    <n v="754.44"/>
    <n v="916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60"/>
    <s v="3029619061869511"/>
    <s v="1.04.00"/>
    <s v="FP Labor - Remote Services Ctr"/>
    <s v="Labor"/>
    <s v="CO-C"/>
    <d v="2026-01-13T00:00:00"/>
    <x v="2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62"/>
    <s v="3029619307683451"/>
    <s v="1.04.00"/>
    <s v="FP Labor - Remote Services Ctr"/>
    <s v="Labor"/>
    <s v="CO-C"/>
    <d v="2026-01-13T00:00:00"/>
    <x v="2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1537"/>
    <s v="1522762083:1"/>
    <s v="1.04.00"/>
    <s v="FP Labor - Remote Services Ctr"/>
    <s v="Labor"/>
    <s v="CO-C"/>
    <d v="2026-01-13T00:00:00"/>
    <x v="2"/>
    <x v="15"/>
    <s v="Employee"/>
    <s v="6"/>
    <s v="ORCL IN OSSI"/>
    <s v="504526 - 96V:GSC-DB &amp; Options"/>
    <s v="09B2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1561"/>
    <s v="1522916586:1"/>
    <s v="1.04.00"/>
    <s v="FP Labor - Remote Services Ctr"/>
    <s v="Labor"/>
    <s v="CO-C"/>
    <d v="2026-01-13T00:00:00"/>
    <x v="2"/>
    <x v="27"/>
    <s v="Employee"/>
    <s v="6"/>
    <s v="ORCL IN OSSI"/>
    <s v="504526 - 96V:GSC-DB &amp; Options"/>
    <s v="09B4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3499"/>
    <s v="1522701234:1"/>
    <s v="1.04.00"/>
    <s v="FP Labor - Remote Services Ctr"/>
    <s v="Labor"/>
    <s v="CO-C"/>
    <d v="2026-01-13T00:00:00"/>
    <x v="2"/>
    <x v="16"/>
    <s v="Employee"/>
    <s v="5"/>
    <s v="ORCL IN OSSI"/>
    <s v="504526 - 96V:GSC-DB &amp; Options"/>
    <s v="09B1"/>
    <s v="Y"/>
    <s v="Y"/>
    <s v="Unrecognized"/>
    <n v="8"/>
    <s v="AED"/>
    <n v="71.209999999999994"/>
    <n v="660.13"/>
    <n v="569.6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1856"/>
    <s v="1522815416:1"/>
    <s v="1.04.00"/>
    <s v="FP Labor - Remote Services Ctr"/>
    <s v="Labor"/>
    <s v="CO-C"/>
    <d v="2026-01-13T00:00:00"/>
    <x v="2"/>
    <x v="17"/>
    <s v="Employee"/>
    <s v="5"/>
    <s v="ORCL IN OSSI"/>
    <s v="504526 - 96V:GSC-DB &amp; Options"/>
    <s v="09B3"/>
    <s v="Y"/>
    <s v="Y"/>
    <s v="Unrecognized"/>
    <n v="8"/>
    <s v="AED"/>
    <n v="71.209999999999994"/>
    <n v="660.13"/>
    <n v="569.6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1560"/>
    <s v="1522659816:1"/>
    <s v="1.04.00"/>
    <s v="FP Labor - Remote Services Ctr"/>
    <s v="Labor"/>
    <s v="CO-C"/>
    <d v="2026-01-13T00:00:00"/>
    <x v="2"/>
    <x v="18"/>
    <s v="Employee"/>
    <s v="5"/>
    <s v="ORCL IN OSSI"/>
    <s v="504526 - 96V:GSC-DB &amp; Options"/>
    <s v="09B1"/>
    <s v="Y"/>
    <s v="Y"/>
    <s v="Unrecognized"/>
    <n v="8"/>
    <s v="AED"/>
    <n v="71.209999999999994"/>
    <n v="660.13"/>
    <n v="569.6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3486"/>
    <s v="1522742694:1"/>
    <s v="1.04.00"/>
    <s v="FP Labor - Remote Services Ctr"/>
    <s v="Labor"/>
    <s v="CO-C"/>
    <d v="2026-01-13T00:00:00"/>
    <x v="2"/>
    <x v="19"/>
    <s v="Employee"/>
    <s v="4"/>
    <s v="ORCL IN OSSI"/>
    <s v="504526 - 96V:GSC-DB &amp; Options"/>
    <s v="09B4"/>
    <s v="Y"/>
    <s v="Y"/>
    <s v="Unrecognized"/>
    <n v="8"/>
    <s v="AED"/>
    <n v="71.209999999999994"/>
    <n v="542.25"/>
    <n v="569.69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82472"/>
    <s v="1523093611:5"/>
    <s v="1.04.00"/>
    <s v="FP Labor - Remote Services Ctr"/>
    <s v="Labor"/>
    <s v="CO-C"/>
    <d v="2026-01-13T00:00:00"/>
    <x v="2"/>
    <x v="28"/>
    <s v="Employee"/>
    <s v="6"/>
    <s v="ORCL IN OSSI"/>
    <s v="504526 - 96V:GSC-DB &amp; Options"/>
    <s v="09B4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4895"/>
    <s v="1523119551:1"/>
    <s v="1.04.00"/>
    <s v="FP Labor - Remote Services Ctr"/>
    <s v="Labor"/>
    <s v="CO-C"/>
    <d v="2026-01-13T00:00:00"/>
    <x v="2"/>
    <x v="20"/>
    <s v="Employee"/>
    <s v="4"/>
    <s v="ORCL IN OSSI"/>
    <s v="504506 - 94V:GSC-eStudio"/>
    <s v="09B4"/>
    <s v="Y"/>
    <s v="Y"/>
    <s v="Unrecognized"/>
    <n v="8"/>
    <s v="AED"/>
    <n v="71.209999999999994"/>
    <n v="542.25"/>
    <n v="569.69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1661"/>
    <s v="1522785036:1"/>
    <s v="1.04.00"/>
    <s v="FP Labor - Remote Services Ctr"/>
    <s v="Labor"/>
    <s v="CO-C"/>
    <d v="2026-01-13T00:00:00"/>
    <x v="2"/>
    <x v="21"/>
    <s v="Employee"/>
    <s v="5"/>
    <s v="ORCL IN OSSI"/>
    <s v="504526 - 96V:GSC-DB &amp; Options"/>
    <s v="09B4"/>
    <s v="Y"/>
    <s v="Y"/>
    <s v="Unrecognized"/>
    <n v="8"/>
    <s v="AED"/>
    <n v="71.209999999999994"/>
    <n v="660.13"/>
    <n v="569.6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3253"/>
    <s v="1522775280:1"/>
    <s v="1.04.00"/>
    <s v="FP Labor - Remote Services Ctr"/>
    <s v="Labor"/>
    <s v="CO-C"/>
    <d v="2026-01-13T00:00:00"/>
    <x v="2"/>
    <x v="29"/>
    <s v="Employee"/>
    <s v="6"/>
    <s v="ORCL IN OSSI"/>
    <s v="504506 - 94V:GSC-eStudio"/>
    <s v="09B2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248"/>
    <s v="3029619346184261"/>
    <s v="1.04.00"/>
    <s v="FP Labor - Remote Services Ctr"/>
    <s v="Labor"/>
    <s v="CO-C"/>
    <d v="2026-01-13T00:00:00"/>
    <x v="2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0056"/>
    <s v="3029618336385801"/>
    <s v="1.04.00"/>
    <s v="FP Labor - Remote Services Ctr"/>
    <s v="Labor"/>
    <s v="CO-C"/>
    <d v="2026-01-13T00:00:00"/>
    <x v="2"/>
    <x v="13"/>
    <s v="Employee"/>
    <s v="8"/>
    <s v="ORCL EG"/>
    <s v="502416 - 3WP-EMEA Delivery Middleware - IaaS"/>
    <s v="008U"/>
    <s v="Y"/>
    <s v="Y"/>
    <s v="Unrecognized"/>
    <n v="8"/>
    <s v="AED"/>
    <n v="107.31"/>
    <n v="943.05"/>
    <n v="858.46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3676"/>
    <s v="1523115046:1"/>
    <s v="1.04.00"/>
    <s v="FP Labor - Remote Services Ctr"/>
    <s v="Labor"/>
    <s v="CO-C"/>
    <d v="2026-01-13T00:00:00"/>
    <x v="2"/>
    <x v="22"/>
    <s v="Employee"/>
    <s v="6"/>
    <s v="ORCL IN OSSI"/>
    <s v="504526 - 96V:GSC-DB &amp; Options"/>
    <s v="09B2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6967"/>
    <s v="3029625738174021"/>
    <s v="1.04.00"/>
    <s v="FP Labor - Remote Services Ctr"/>
    <s v="Labor"/>
    <s v="CO-C"/>
    <d v="2026-01-13T00:00:00"/>
    <x v="2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1881"/>
    <s v="1523366632:1"/>
    <s v="1.04.00"/>
    <s v="FP Labor - Remote Services Ctr"/>
    <s v="Labor"/>
    <s v="CO-C"/>
    <d v="2026-01-13T00:00:00"/>
    <x v="2"/>
    <x v="23"/>
    <s v="Employee"/>
    <s v="5"/>
    <s v="ORCL IN OSSI"/>
    <s v="504526 - 96V:GSC-DB &amp; Options"/>
    <s v="09B1"/>
    <s v="Y"/>
    <s v="Y"/>
    <s v="Unrecognized"/>
    <n v="8"/>
    <s v="AED"/>
    <n v="71.209999999999994"/>
    <n v="660.13"/>
    <n v="569.6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1841"/>
    <s v="1522783937:2"/>
    <s v="1.04.00"/>
    <s v="FP Labor - Remote Services Ctr"/>
    <s v="Labor"/>
    <s v="CO-C"/>
    <d v="2026-01-13T00:00:00"/>
    <x v="2"/>
    <x v="31"/>
    <s v="Employee"/>
    <s v="6"/>
    <s v="ORCL IN OSSI"/>
    <s v="504506 - 94V:GSC-eStudio"/>
    <s v="09B2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33161"/>
    <s v="3029619015913691"/>
    <s v="1.04.00"/>
    <s v="FP Labor - Remote Services Ctr"/>
    <s v="Labor"/>
    <s v="CO-C"/>
    <d v="2026-01-13T00:00:00"/>
    <x v="2"/>
    <x v="24"/>
    <s v="Billable Contractor"/>
    <m/>
    <s v="ORCL IN OSSI"/>
    <s v="504526 - 96V:GSC-DB &amp; Options"/>
    <s v="009B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4296"/>
    <s v="1522963612:1"/>
    <s v="1.04.00"/>
    <s v="FP Labor - Remote Services Ctr"/>
    <s v="Labor"/>
    <s v="CO-C"/>
    <d v="2026-01-13T00:00:00"/>
    <x v="2"/>
    <x v="25"/>
    <s v="Employee"/>
    <s v="7"/>
    <s v="ORCL IN OSSI"/>
    <s v="504506 - 94V:GSC-eStudio"/>
    <s v="009B"/>
    <s v="Y"/>
    <s v="Y"/>
    <s v="Unrecognized"/>
    <n v="8"/>
    <s v="AED"/>
    <n v="114.43"/>
    <n v="813.38"/>
    <n v="915.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6073"/>
    <s v="1524090346:2"/>
    <s v="1.04.00"/>
    <s v="FP Labor - Remote Services Ctr"/>
    <s v="Labor"/>
    <s v="CO-C"/>
    <d v="2026-01-13T00:00:00"/>
    <x v="2"/>
    <x v="32"/>
    <s v="Employee"/>
    <s v="5"/>
    <s v="ORCL IN OSSI"/>
    <s v="504546 - 98V:GSC-PaaS"/>
    <s v="09B2"/>
    <s v="Y"/>
    <s v="Y"/>
    <s v="Unrecognized"/>
    <n v="8"/>
    <s v="AED"/>
    <n v="71.209999999999994"/>
    <n v="660.13"/>
    <n v="569.6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63006"/>
    <s v="1522871026:1"/>
    <s v="1.04.00"/>
    <s v="FP Labor - Remote Services Ctr"/>
    <s v="Labor"/>
    <s v="CO-C"/>
    <d v="2026-01-13T00:00:00"/>
    <x v="2"/>
    <x v="33"/>
    <s v="Employee"/>
    <s v="6"/>
    <s v="ORCL IN OSSI"/>
    <s v="504526 - 96V:GSC-DB &amp; Options"/>
    <s v="09B1"/>
    <s v="Y"/>
    <s v="Y"/>
    <s v="Unrecognized"/>
    <n v="8"/>
    <s v="AED"/>
    <n v="114.43"/>
    <n v="754.44"/>
    <n v="915.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7034"/>
    <s v="1522762082:1"/>
    <s v="1.04.00"/>
    <s v="FP Labor - Remote Services Ctr"/>
    <s v="Labor"/>
    <s v="CO-C"/>
    <d v="2026-01-14T00:00:00"/>
    <x v="2"/>
    <x v="15"/>
    <s v="Employee"/>
    <s v="6"/>
    <s v="ORCL IN OSSI"/>
    <s v="504526 - 96V:GSC-DB &amp; Options"/>
    <s v="09B2"/>
    <s v="Y"/>
    <s v="Y"/>
    <s v="Unrecognized"/>
    <n v="8"/>
    <s v="AED"/>
    <n v="114.4"/>
    <n v="754.44"/>
    <n v="915.1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4816"/>
    <s v="1522916587:1"/>
    <s v="1.04.00"/>
    <s v="FP Labor - Remote Services Ctr"/>
    <s v="Labor"/>
    <s v="CO-C"/>
    <d v="2026-01-14T00:00:00"/>
    <x v="2"/>
    <x v="27"/>
    <s v="Employee"/>
    <s v="6"/>
    <s v="ORCL IN OSSI"/>
    <s v="504526 - 96V:GSC-DB &amp; Options"/>
    <s v="09B4"/>
    <s v="Y"/>
    <s v="Y"/>
    <s v="Unrecognized"/>
    <n v="8"/>
    <s v="AED"/>
    <n v="114.4"/>
    <n v="754.44"/>
    <n v="915.1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8408"/>
    <s v="1522701235:1"/>
    <s v="1.04.00"/>
    <s v="FP Labor - Remote Services Ctr"/>
    <s v="Labor"/>
    <s v="CO-C"/>
    <d v="2026-01-14T00:00:00"/>
    <x v="2"/>
    <x v="16"/>
    <s v="Employee"/>
    <s v="5"/>
    <s v="ORCL IN OSSI"/>
    <s v="504526 - 96V:GSC-DB &amp; Options"/>
    <s v="09B1"/>
    <s v="Y"/>
    <s v="Y"/>
    <s v="Unrecognized"/>
    <n v="8"/>
    <s v="AED"/>
    <n v="71.19"/>
    <n v="660.13"/>
    <n v="569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6587"/>
    <s v="1522815415:1"/>
    <s v="1.04.00"/>
    <s v="FP Labor - Remote Services Ctr"/>
    <s v="Labor"/>
    <s v="CO-C"/>
    <d v="2026-01-14T00:00:00"/>
    <x v="2"/>
    <x v="17"/>
    <s v="Employee"/>
    <s v="5"/>
    <s v="ORCL IN OSSI"/>
    <s v="504526 - 96V:GSC-DB &amp; Options"/>
    <s v="09B3"/>
    <s v="Y"/>
    <s v="Y"/>
    <s v="Unrecognized"/>
    <n v="8"/>
    <s v="AED"/>
    <n v="71.19"/>
    <n v="660.13"/>
    <n v="569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4616"/>
    <s v="1522659818:1"/>
    <s v="1.04.00"/>
    <s v="FP Labor - Remote Services Ctr"/>
    <s v="Labor"/>
    <s v="CO-C"/>
    <d v="2026-01-14T00:00:00"/>
    <x v="2"/>
    <x v="18"/>
    <s v="Employee"/>
    <s v="5"/>
    <s v="ORCL IN OSSI"/>
    <s v="504526 - 96V:GSC-DB &amp; Options"/>
    <s v="09B1"/>
    <s v="Y"/>
    <s v="Y"/>
    <s v="Unrecognized"/>
    <n v="8"/>
    <s v="AED"/>
    <n v="71.19"/>
    <n v="660.13"/>
    <n v="569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7949"/>
    <s v="1522742693:1"/>
    <s v="1.04.00"/>
    <s v="FP Labor - Remote Services Ctr"/>
    <s v="Labor"/>
    <s v="CO-C"/>
    <d v="2026-01-14T00:00:00"/>
    <x v="2"/>
    <x v="19"/>
    <s v="Employee"/>
    <s v="4"/>
    <s v="ORCL IN OSSI"/>
    <s v="504526 - 96V:GSC-DB &amp; Options"/>
    <s v="09B4"/>
    <s v="Y"/>
    <s v="Y"/>
    <s v="Unrecognized"/>
    <n v="8"/>
    <s v="AED"/>
    <n v="71.19"/>
    <n v="542.25"/>
    <n v="569.54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409731"/>
    <s v="1523093612:5"/>
    <s v="1.04.00"/>
    <s v="FP Labor - Remote Services Ctr"/>
    <s v="Labor"/>
    <s v="CO-C"/>
    <d v="2026-01-14T00:00:00"/>
    <x v="2"/>
    <x v="28"/>
    <s v="Employee"/>
    <s v="6"/>
    <s v="ORCL IN OSSI"/>
    <s v="504526 - 96V:GSC-DB &amp; Options"/>
    <s v="09B4"/>
    <s v="Y"/>
    <s v="Y"/>
    <s v="Unrecognized"/>
    <n v="8"/>
    <s v="AED"/>
    <n v="114.4"/>
    <n v="754.44"/>
    <n v="915.1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4531"/>
    <s v="1523119552:1"/>
    <s v="1.04.00"/>
    <s v="FP Labor - Remote Services Ctr"/>
    <s v="Labor"/>
    <s v="CO-C"/>
    <d v="2026-01-14T00:00:00"/>
    <x v="2"/>
    <x v="20"/>
    <s v="Employee"/>
    <s v="4"/>
    <s v="ORCL IN OSSI"/>
    <s v="504506 - 94V:GSC-eStudio"/>
    <s v="09B4"/>
    <s v="Y"/>
    <s v="Y"/>
    <s v="Unrecognized"/>
    <n v="8"/>
    <s v="AED"/>
    <n v="71.19"/>
    <n v="542.25"/>
    <n v="569.54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8324"/>
    <s v="1522785037:1"/>
    <s v="1.04.00"/>
    <s v="FP Labor - Remote Services Ctr"/>
    <s v="Labor"/>
    <s v="CO-C"/>
    <d v="2026-01-14T00:00:00"/>
    <x v="2"/>
    <x v="21"/>
    <s v="Employee"/>
    <s v="5"/>
    <s v="ORCL IN OSSI"/>
    <s v="504526 - 96V:GSC-DB &amp; Options"/>
    <s v="09B4"/>
    <s v="Y"/>
    <s v="Y"/>
    <s v="Unrecognized"/>
    <n v="8"/>
    <s v="AED"/>
    <n v="71.19"/>
    <n v="660.13"/>
    <n v="569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5202"/>
    <s v="1522775279:1"/>
    <s v="1.04.00"/>
    <s v="FP Labor - Remote Services Ctr"/>
    <s v="Labor"/>
    <s v="CO-C"/>
    <d v="2026-01-14T00:00:00"/>
    <x v="2"/>
    <x v="29"/>
    <s v="Employee"/>
    <s v="6"/>
    <s v="ORCL IN OSSI"/>
    <s v="504506 - 94V:GSC-eStudio"/>
    <s v="09B2"/>
    <s v="Y"/>
    <s v="Y"/>
    <s v="Unrecognized"/>
    <n v="8"/>
    <s v="AED"/>
    <n v="114.4"/>
    <n v="754.44"/>
    <n v="915.1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77395"/>
    <s v="3029619346184281"/>
    <s v="1.04.00"/>
    <s v="FP Labor - Remote Services Ctr"/>
    <s v="Labor"/>
    <s v="CO-C"/>
    <d v="2026-01-14T00:00:00"/>
    <x v="2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77340"/>
    <s v="3029618336385821"/>
    <s v="1.04.00"/>
    <s v="FP Labor - Remote Services Ctr"/>
    <s v="Labor"/>
    <s v="CO-C"/>
    <d v="2026-01-14T00:00:00"/>
    <x v="2"/>
    <x v="13"/>
    <s v="Employee"/>
    <s v="8"/>
    <s v="ORCL EG"/>
    <s v="502416 - 3WP-EMEA Delivery Middleware - IaaS"/>
    <s v="008U"/>
    <s v="Y"/>
    <s v="Y"/>
    <s v="Unrecognized"/>
    <n v="8"/>
    <s v="AED"/>
    <n v="107.35"/>
    <n v="943.05"/>
    <n v="858.8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4989"/>
    <s v="1523115047:1"/>
    <s v="1.04.00"/>
    <s v="FP Labor - Remote Services Ctr"/>
    <s v="Labor"/>
    <s v="CO-C"/>
    <d v="2026-01-14T00:00:00"/>
    <x v="2"/>
    <x v="22"/>
    <s v="Employee"/>
    <s v="6"/>
    <s v="ORCL IN OSSI"/>
    <s v="504526 - 96V:GSC-DB &amp; Options"/>
    <s v="09B2"/>
    <s v="Y"/>
    <s v="Y"/>
    <s v="Unrecognized"/>
    <n v="8"/>
    <s v="AED"/>
    <n v="114.4"/>
    <n v="754.44"/>
    <n v="915.1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6966"/>
    <s v="3029625738174041"/>
    <s v="1.04.00"/>
    <s v="FP Labor - Remote Services Ctr"/>
    <s v="Labor"/>
    <s v="CO-C"/>
    <d v="2026-01-14T00:00:00"/>
    <x v="2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7616"/>
    <s v="1523366633:1"/>
    <s v="1.04.00"/>
    <s v="FP Labor - Remote Services Ctr"/>
    <s v="Labor"/>
    <s v="CO-C"/>
    <d v="2026-01-14T00:00:00"/>
    <x v="2"/>
    <x v="23"/>
    <s v="Employee"/>
    <s v="5"/>
    <s v="ORCL IN OSSI"/>
    <s v="504526 - 96V:GSC-DB &amp; Options"/>
    <s v="09B1"/>
    <s v="Y"/>
    <s v="Y"/>
    <s v="Unrecognized"/>
    <n v="8"/>
    <s v="AED"/>
    <n v="71.19"/>
    <n v="660.13"/>
    <n v="569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6543"/>
    <s v="1522783938:2"/>
    <s v="1.04.00"/>
    <s v="FP Labor - Remote Services Ctr"/>
    <s v="Labor"/>
    <s v="CO-C"/>
    <d v="2026-01-14T00:00:00"/>
    <x v="2"/>
    <x v="31"/>
    <s v="Employee"/>
    <s v="6"/>
    <s v="ORCL IN OSSI"/>
    <s v="504506 - 94V:GSC-eStudio"/>
    <s v="09B2"/>
    <s v="Y"/>
    <s v="Y"/>
    <s v="Unrecognized"/>
    <n v="8"/>
    <s v="AED"/>
    <n v="114.4"/>
    <n v="754.44"/>
    <n v="915.1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76635"/>
    <s v="3029619015913711"/>
    <s v="1.04.00"/>
    <s v="FP Labor - Remote Services Ctr"/>
    <s v="Labor"/>
    <s v="CO-C"/>
    <d v="2026-01-14T00:00:00"/>
    <x v="2"/>
    <x v="24"/>
    <s v="Billable Contractor"/>
    <m/>
    <s v="ORCL IN OSSI"/>
    <s v="504526 - 96V:GSC-DB &amp; Options"/>
    <s v="009B"/>
    <s v="Y"/>
    <s v="Y"/>
    <s v="Unrecognized"/>
    <n v="8"/>
    <s v="AED"/>
    <n v="114.4"/>
    <n v="754.44"/>
    <n v="915.1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5208"/>
    <s v="1522963613:1"/>
    <s v="1.04.00"/>
    <s v="FP Labor - Remote Services Ctr"/>
    <s v="Labor"/>
    <s v="CO-C"/>
    <d v="2026-01-14T00:00:00"/>
    <x v="2"/>
    <x v="25"/>
    <s v="Employee"/>
    <s v="7"/>
    <s v="ORCL IN OSSI"/>
    <s v="504506 - 94V:GSC-eStudio"/>
    <s v="009B"/>
    <s v="Y"/>
    <s v="Y"/>
    <s v="Unrecognized"/>
    <n v="8"/>
    <s v="AED"/>
    <n v="114.4"/>
    <n v="813.38"/>
    <n v="915.17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394869"/>
    <s v="1522871027:1"/>
    <s v="1.04.00"/>
    <s v="FP Labor - Remote Services Ctr"/>
    <s v="Labor"/>
    <s v="CO-C"/>
    <d v="2026-01-14T00:00:00"/>
    <x v="2"/>
    <x v="33"/>
    <s v="Employee"/>
    <s v="6"/>
    <s v="ORCL IN OSSI"/>
    <s v="504526 - 96V:GSC-DB &amp; Options"/>
    <s v="09B1"/>
    <s v="Y"/>
    <s v="Y"/>
    <s v="Unrecognized"/>
    <n v="8"/>
    <s v="AED"/>
    <n v="114.4"/>
    <n v="754.44"/>
    <n v="915.1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446777"/>
    <s v="1522815414:1"/>
    <s v="1.04.00"/>
    <s v="FP Labor - Remote Services Ctr"/>
    <s v="Labor"/>
    <s v="CO-C"/>
    <d v="2026-01-15T00:00:00"/>
    <x v="2"/>
    <x v="17"/>
    <s v="Employee"/>
    <s v="5"/>
    <s v="ORCL IN OSSI"/>
    <s v="504526 - 96V:GSC-DB &amp; Options"/>
    <s v="09B3"/>
    <s v="Y"/>
    <s v="Y"/>
    <s v="Unrecognized"/>
    <n v="8"/>
    <s v="AED"/>
    <n v="71.11"/>
    <n v="660.13"/>
    <n v="568.8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472535"/>
    <s v="1522785038:1"/>
    <s v="1.04.00"/>
    <s v="FP Labor - Remote Services Ctr"/>
    <s v="Labor"/>
    <s v="CO-C"/>
    <d v="2026-01-15T00:00:00"/>
    <x v="2"/>
    <x v="21"/>
    <s v="Employee"/>
    <s v="5"/>
    <s v="ORCL IN OSSI"/>
    <s v="504526 - 96V:GSC-DB &amp; Options"/>
    <s v="09B4"/>
    <s v="Y"/>
    <s v="Y"/>
    <s v="Unrecognized"/>
    <n v="8"/>
    <s v="AED"/>
    <n v="71.11"/>
    <n v="660.13"/>
    <n v="568.8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424941"/>
    <s v="3029619346184301"/>
    <s v="1.04.00"/>
    <s v="FP Labor - Remote Services Ctr"/>
    <s v="Labor"/>
    <s v="CO-C"/>
    <d v="2026-01-15T00:00:00"/>
    <x v="2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81"/>
    <s v="3029631825312761"/>
    <s v="1.04.00"/>
    <s v="FP Labor - Remote Services Ctr"/>
    <s v="Labor"/>
    <s v="CO-C"/>
    <d v="2026-01-15T00:00:00"/>
    <x v="2"/>
    <x v="13"/>
    <s v="Employee"/>
    <s v="8"/>
    <s v="ORCL EG"/>
    <s v="502416 - 3WP-EMEA Delivery Middleware - IaaS"/>
    <s v="008U"/>
    <s v="Y"/>
    <s v="Y"/>
    <s v="Unrecognized"/>
    <n v="8"/>
    <s v="AED"/>
    <n v="106.97"/>
    <n v="943.05"/>
    <n v="855.7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6965"/>
    <s v="3029625739354061"/>
    <s v="1.04.00"/>
    <s v="FP Labor - Remote Services Ctr"/>
    <s v="Labor"/>
    <s v="CO-C"/>
    <d v="2026-01-15T00:00:00"/>
    <x v="2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82"/>
    <s v="3029631796462781"/>
    <s v="1.04.00"/>
    <s v="FP Labor - Remote Services Ctr"/>
    <s v="Labor"/>
    <s v="CO-C"/>
    <d v="2026-01-16T00:00:00"/>
    <x v="2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42262"/>
    <s v="1522762081:1"/>
    <s v="1.04.00"/>
    <s v="FP Labor - Remote Services Ctr"/>
    <s v="Labor"/>
    <s v="CO-C"/>
    <d v="2026-01-16T00:00:00"/>
    <x v="2"/>
    <x v="15"/>
    <s v="Employee"/>
    <s v="6"/>
    <s v="ORCL IN OSSI"/>
    <s v="504526 - 96V:GSC-DB &amp; Options"/>
    <s v="09B2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54945"/>
    <s v="1522916589:1"/>
    <s v="1.04.00"/>
    <s v="FP Labor - Remote Services Ctr"/>
    <s v="Labor"/>
    <s v="CO-C"/>
    <d v="2026-01-16T00:00:00"/>
    <x v="2"/>
    <x v="27"/>
    <s v="Employee"/>
    <s v="6"/>
    <s v="ORCL IN OSSI"/>
    <s v="504526 - 96V:GSC-DB &amp; Options"/>
    <s v="09B4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52442"/>
    <s v="1522701236:1"/>
    <s v="1.04.00"/>
    <s v="FP Labor - Remote Services Ctr"/>
    <s v="Labor"/>
    <s v="CO-C"/>
    <d v="2026-01-16T00:00:00"/>
    <x v="2"/>
    <x v="16"/>
    <s v="Employee"/>
    <s v="5"/>
    <s v="ORCL IN OSSI"/>
    <s v="504526 - 96V:GSC-DB &amp; Options"/>
    <s v="09B1"/>
    <s v="Y"/>
    <s v="Y"/>
    <s v="Unrecognized"/>
    <n v="8"/>
    <s v="AED"/>
    <n v="71.11"/>
    <n v="660.13"/>
    <n v="568.8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59680"/>
    <s v="1522815413:1"/>
    <s v="1.04.00"/>
    <s v="FP Labor - Remote Services Ctr"/>
    <s v="Labor"/>
    <s v="CO-C"/>
    <d v="2026-01-16T00:00:00"/>
    <x v="2"/>
    <x v="17"/>
    <s v="Employee"/>
    <s v="5"/>
    <s v="ORCL IN OSSI"/>
    <s v="504526 - 96V:GSC-DB &amp; Options"/>
    <s v="09B3"/>
    <s v="Y"/>
    <s v="Y"/>
    <s v="Unrecognized"/>
    <n v="8"/>
    <s v="AED"/>
    <n v="71.11"/>
    <n v="660.13"/>
    <n v="568.8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53728"/>
    <s v="1522659822:1"/>
    <s v="1.04.00"/>
    <s v="FP Labor - Remote Services Ctr"/>
    <s v="Labor"/>
    <s v="CO-C"/>
    <d v="2026-01-16T00:00:00"/>
    <x v="2"/>
    <x v="18"/>
    <s v="Employee"/>
    <s v="5"/>
    <s v="ORCL IN OSSI"/>
    <s v="504526 - 96V:GSC-DB &amp; Options"/>
    <s v="09B1"/>
    <s v="Y"/>
    <s v="Y"/>
    <s v="Unrecognized"/>
    <n v="8"/>
    <s v="AED"/>
    <n v="71.11"/>
    <n v="660.13"/>
    <n v="568.8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41568"/>
    <s v="1522742691:1"/>
    <s v="1.04.00"/>
    <s v="FP Labor - Remote Services Ctr"/>
    <s v="Labor"/>
    <s v="CO-C"/>
    <d v="2026-01-16T00:00:00"/>
    <x v="2"/>
    <x v="19"/>
    <s v="Employee"/>
    <s v="4"/>
    <s v="ORCL IN OSSI"/>
    <s v="504526 - 96V:GSC-DB &amp; Options"/>
    <s v="09B4"/>
    <s v="Y"/>
    <s v="Y"/>
    <s v="Unrecognized"/>
    <n v="8"/>
    <s v="AED"/>
    <n v="71.11"/>
    <n v="542.25"/>
    <n v="568.8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39703"/>
    <s v="1523119554:1"/>
    <s v="1.04.00"/>
    <s v="FP Labor - Remote Services Ctr"/>
    <s v="Labor"/>
    <s v="CO-C"/>
    <d v="2026-01-16T00:00:00"/>
    <x v="2"/>
    <x v="20"/>
    <s v="Employee"/>
    <s v="4"/>
    <s v="ORCL IN OSSI"/>
    <s v="504506 - 94V:GSC-eStudio"/>
    <s v="09B4"/>
    <s v="Y"/>
    <s v="Y"/>
    <s v="Unrecognized"/>
    <n v="8"/>
    <s v="AED"/>
    <n v="71.11"/>
    <n v="542.25"/>
    <n v="568.8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38962"/>
    <s v="1522785039:1"/>
    <s v="1.04.00"/>
    <s v="FP Labor - Remote Services Ctr"/>
    <s v="Labor"/>
    <s v="CO-C"/>
    <d v="2026-01-16T00:00:00"/>
    <x v="2"/>
    <x v="21"/>
    <s v="Employee"/>
    <s v="5"/>
    <s v="ORCL IN OSSI"/>
    <s v="504526 - 96V:GSC-DB &amp; Options"/>
    <s v="09B4"/>
    <s v="Y"/>
    <s v="Y"/>
    <s v="Unrecognized"/>
    <n v="8"/>
    <s v="AED"/>
    <n v="71.11"/>
    <n v="660.13"/>
    <n v="568.8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27452"/>
    <s v="1522775278:1"/>
    <s v="1.04.00"/>
    <s v="FP Labor - Remote Services Ctr"/>
    <s v="Labor"/>
    <s v="CO-C"/>
    <d v="2026-01-16T00:00:00"/>
    <x v="2"/>
    <x v="29"/>
    <s v="Employee"/>
    <s v="6"/>
    <s v="ORCL IN OSSI"/>
    <s v="504506 - 94V:GSC-eStudio"/>
    <s v="09B2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33925"/>
    <s v="3029619346184321"/>
    <s v="1.04.00"/>
    <s v="FP Labor - Remote Services Ctr"/>
    <s v="Labor"/>
    <s v="CO-C"/>
    <d v="2026-01-16T00:00:00"/>
    <x v="2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80"/>
    <s v="3029631825312781"/>
    <s v="1.04.00"/>
    <s v="FP Labor - Remote Services Ctr"/>
    <s v="Labor"/>
    <s v="CO-C"/>
    <d v="2026-01-16T00:00:00"/>
    <x v="2"/>
    <x v="13"/>
    <s v="Employee"/>
    <s v="8"/>
    <s v="ORCL EG"/>
    <s v="502416 - 3WP-EMEA Delivery Middleware - IaaS"/>
    <s v="008U"/>
    <s v="Y"/>
    <s v="Y"/>
    <s v="Unrecognized"/>
    <n v="8"/>
    <s v="AED"/>
    <n v="107.04"/>
    <n v="943.05"/>
    <n v="856.2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52393"/>
    <s v="1523115049:1"/>
    <s v="1.04.00"/>
    <s v="FP Labor - Remote Services Ctr"/>
    <s v="Labor"/>
    <s v="CO-C"/>
    <d v="2026-01-16T00:00:00"/>
    <x v="2"/>
    <x v="22"/>
    <s v="Employee"/>
    <s v="6"/>
    <s v="ORCL IN OSSI"/>
    <s v="504526 - 96V:GSC-DB &amp; Options"/>
    <s v="09B2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57276"/>
    <s v="1523366635:1"/>
    <s v="1.04.00"/>
    <s v="FP Labor - Remote Services Ctr"/>
    <s v="Labor"/>
    <s v="CO-C"/>
    <d v="2026-01-16T00:00:00"/>
    <x v="2"/>
    <x v="23"/>
    <s v="Employee"/>
    <s v="5"/>
    <s v="ORCL IN OSSI"/>
    <s v="504526 - 96V:GSC-DB &amp; Options"/>
    <s v="09B1"/>
    <s v="Y"/>
    <s v="Y"/>
    <s v="Unrecognized"/>
    <n v="8"/>
    <s v="AED"/>
    <n v="71.11"/>
    <n v="660.13"/>
    <n v="568.8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53761"/>
    <s v="1522783940:2"/>
    <s v="1.04.00"/>
    <s v="FP Labor - Remote Services Ctr"/>
    <s v="Labor"/>
    <s v="CO-C"/>
    <d v="2026-01-16T00:00:00"/>
    <x v="2"/>
    <x v="31"/>
    <s v="Employee"/>
    <s v="6"/>
    <s v="ORCL IN OSSI"/>
    <s v="504506 - 94V:GSC-eStudio"/>
    <s v="09B2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08389"/>
    <s v="3029619015913751"/>
    <s v="1.04.00"/>
    <s v="FP Labor - Remote Services Ctr"/>
    <s v="Labor"/>
    <s v="CO-C"/>
    <d v="2026-01-16T00:00:00"/>
    <x v="2"/>
    <x v="24"/>
    <s v="Billable Contractor"/>
    <m/>
    <s v="ORCL IN OSSI"/>
    <s v="504526 - 96V:GSC-DB &amp; Options"/>
    <s v="009B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41044"/>
    <s v="1522963614:1"/>
    <s v="1.04.00"/>
    <s v="FP Labor - Remote Services Ctr"/>
    <s v="Labor"/>
    <s v="CO-C"/>
    <d v="2026-01-16T00:00:00"/>
    <x v="2"/>
    <x v="25"/>
    <s v="Employee"/>
    <s v="7"/>
    <s v="ORCL IN OSSI"/>
    <s v="504506 - 94V:GSC-eStudio"/>
    <s v="009B"/>
    <s v="Y"/>
    <s v="Y"/>
    <s v="Unrecognized"/>
    <n v="8"/>
    <s v="AED"/>
    <n v="114.25"/>
    <n v="813.38"/>
    <n v="914.0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527844"/>
    <s v="1522871029:1"/>
    <s v="1.04.00"/>
    <s v="FP Labor - Remote Services Ctr"/>
    <s v="Labor"/>
    <s v="CO-C"/>
    <d v="2026-01-16T00:00:00"/>
    <x v="2"/>
    <x v="33"/>
    <s v="Employee"/>
    <s v="6"/>
    <s v="ORCL IN OSSI"/>
    <s v="504526 - 96V:GSC-DB &amp; Options"/>
    <s v="09B1"/>
    <s v="Y"/>
    <s v="Y"/>
    <s v="Unrecognized"/>
    <n v="8"/>
    <s v="AED"/>
    <n v="114.25"/>
    <n v="754.44"/>
    <n v="914.0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3846"/>
    <s v="3029619063128441"/>
    <s v="1.04.00"/>
    <s v="FP Labor - Remote Services Ctr"/>
    <s v="Labor"/>
    <s v="CO-C"/>
    <d v="2026-01-19T00:00:00"/>
    <x v="3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3953"/>
    <s v="3029619305955701"/>
    <s v="1.04.00"/>
    <s v="FP Labor - Remote Services Ctr"/>
    <s v="Labor"/>
    <s v="CO-C"/>
    <d v="2026-01-19T00:00:00"/>
    <x v="3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9942"/>
    <s v="1522762125:1"/>
    <s v="1.04.00"/>
    <s v="FP Labor - Remote Services Ctr"/>
    <s v="Labor"/>
    <s v="CO-C"/>
    <d v="2026-01-19T00:00:00"/>
    <x v="3"/>
    <x v="15"/>
    <s v="Employee"/>
    <s v="6"/>
    <s v="ORCL IN OSSI"/>
    <s v="504526 - 96V:GSC-DB &amp; Options"/>
    <s v="09B2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291"/>
    <s v="1522916637:1"/>
    <s v="1.04.00"/>
    <s v="FP Labor - Remote Services Ctr"/>
    <s v="Labor"/>
    <s v="CO-C"/>
    <d v="2026-01-19T00:00:00"/>
    <x v="3"/>
    <x v="27"/>
    <s v="Employee"/>
    <s v="6"/>
    <s v="ORCL IN OSSI"/>
    <s v="504526 - 96V:GSC-DB &amp; Options"/>
    <s v="09B4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31256"/>
    <s v="1522701264:1"/>
    <s v="1.04.00"/>
    <s v="FP Labor - Remote Services Ctr"/>
    <s v="Labor"/>
    <s v="CO-C"/>
    <d v="2026-01-19T00:00:00"/>
    <x v="3"/>
    <x v="16"/>
    <s v="Employee"/>
    <s v="5"/>
    <s v="ORCL IN OSSI"/>
    <s v="504526 - 96V:GSC-DB &amp; Options"/>
    <s v="09B1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31098"/>
    <s v="1522817500:1"/>
    <s v="1.04.00"/>
    <s v="FP Labor - Remote Services Ctr"/>
    <s v="Labor"/>
    <s v="CO-C"/>
    <d v="2026-01-19T00:00:00"/>
    <x v="3"/>
    <x v="17"/>
    <s v="Employee"/>
    <s v="5"/>
    <s v="ORCL IN OSSI"/>
    <s v="504526 - 96V:GSC-DB &amp; Options"/>
    <s v="09B3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1003"/>
    <s v="1523091671:1"/>
    <s v="1.04.00"/>
    <s v="FP Labor - Remote Services Ctr"/>
    <s v="Labor"/>
    <s v="CO-C"/>
    <d v="2026-01-19T00:00:00"/>
    <x v="3"/>
    <x v="18"/>
    <s v="Employee"/>
    <s v="5"/>
    <s v="ORCL IN OSSI"/>
    <s v="504526 - 96V:GSC-DB &amp; Options"/>
    <s v="09B1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321"/>
    <s v="1522742999:1"/>
    <s v="1.04.00"/>
    <s v="FP Labor - Remote Services Ctr"/>
    <s v="Labor"/>
    <s v="CO-C"/>
    <d v="2026-01-19T00:00:00"/>
    <x v="3"/>
    <x v="19"/>
    <s v="Employee"/>
    <s v="4"/>
    <s v="ORCL IN OSSI"/>
    <s v="504526 - 96V:GSC-DB &amp; Options"/>
    <s v="09B4"/>
    <s v="Y"/>
    <s v="Y"/>
    <s v="Unrecognized"/>
    <n v="8"/>
    <s v="AED"/>
    <n v="70.66"/>
    <n v="542.25"/>
    <n v="565.2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0583"/>
    <s v="1523093741:2"/>
    <s v="1.04.00"/>
    <s v="FP Labor - Remote Services Ctr"/>
    <s v="Labor"/>
    <s v="CO-C"/>
    <d v="2026-01-19T00:00:00"/>
    <x v="3"/>
    <x v="28"/>
    <s v="Employee"/>
    <s v="6"/>
    <s v="ORCL IN OSSI"/>
    <s v="504526 - 96V:GSC-DB &amp; Options"/>
    <s v="09B4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275"/>
    <s v="1523119583:1"/>
    <s v="1.04.00"/>
    <s v="FP Labor - Remote Services Ctr"/>
    <s v="Labor"/>
    <s v="CO-C"/>
    <d v="2026-01-19T00:00:00"/>
    <x v="3"/>
    <x v="20"/>
    <s v="Employee"/>
    <s v="4"/>
    <s v="ORCL IN OSSI"/>
    <s v="504506 - 94V:GSC-eStudio"/>
    <s v="09B4"/>
    <s v="Y"/>
    <s v="Y"/>
    <s v="Unrecognized"/>
    <n v="8"/>
    <s v="AED"/>
    <n v="70.66"/>
    <n v="542.25"/>
    <n v="565.2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536"/>
    <s v="1522785117:1"/>
    <s v="1.04.00"/>
    <s v="FP Labor - Remote Services Ctr"/>
    <s v="Labor"/>
    <s v="CO-C"/>
    <d v="2026-01-19T00:00:00"/>
    <x v="3"/>
    <x v="21"/>
    <s v="Employee"/>
    <s v="5"/>
    <s v="ORCL IN OSSI"/>
    <s v="504526 - 96V:GSC-DB &amp; Options"/>
    <s v="09B4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2672"/>
    <s v="1522779696:1"/>
    <s v="1.04.00"/>
    <s v="FP Labor - Remote Services Ctr"/>
    <s v="Labor"/>
    <s v="CO-C"/>
    <d v="2026-01-19T00:00:00"/>
    <x v="3"/>
    <x v="29"/>
    <s v="Employee"/>
    <s v="6"/>
    <s v="ORCL IN OSSI"/>
    <s v="504506 - 94V:GSC-eStudio"/>
    <s v="09B2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3916"/>
    <s v="3029619340527861"/>
    <s v="1.04.00"/>
    <s v="FP Labor - Remote Services Ctr"/>
    <s v="Labor"/>
    <s v="CO-C"/>
    <d v="2026-01-19T00:00:00"/>
    <x v="3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4064"/>
    <s v="3029618337594201"/>
    <s v="1.04.00"/>
    <s v="FP Labor - Remote Services Ctr"/>
    <s v="Labor"/>
    <s v="CO-C"/>
    <d v="2026-01-19T00:00:00"/>
    <x v="3"/>
    <x v="13"/>
    <s v="Employee"/>
    <s v="8"/>
    <s v="ORCL EG"/>
    <s v="502416 - 3WP-EMEA Delivery Middleware - IaaS"/>
    <s v="008U"/>
    <s v="Y"/>
    <s v="Y"/>
    <s v="Unrecognized"/>
    <n v="8"/>
    <s v="AED"/>
    <n v="107.04"/>
    <n v="943.05"/>
    <n v="856.2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518"/>
    <s v="1523115080:1"/>
    <s v="1.04.00"/>
    <s v="FP Labor - Remote Services Ctr"/>
    <s v="Labor"/>
    <s v="CO-C"/>
    <d v="2026-01-19T00:00:00"/>
    <x v="3"/>
    <x v="22"/>
    <s v="Employee"/>
    <s v="6"/>
    <s v="ORCL IN OSSI"/>
    <s v="504526 - 96V:GSC-DB &amp; Options"/>
    <s v="09B2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866"/>
    <s v="3029625738939101"/>
    <s v="1.04.00"/>
    <s v="FP Labor - Remote Services Ctr"/>
    <s v="Labor"/>
    <s v="CO-C"/>
    <d v="2026-01-19T00:00:00"/>
    <x v="3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728"/>
    <s v="1523366661:1"/>
    <s v="1.04.00"/>
    <s v="FP Labor - Remote Services Ctr"/>
    <s v="Labor"/>
    <s v="CO-C"/>
    <d v="2026-01-19T00:00:00"/>
    <x v="3"/>
    <x v="23"/>
    <s v="Employee"/>
    <s v="5"/>
    <s v="ORCL IN OSSI"/>
    <s v="504526 - 96V:GSC-DB &amp; Options"/>
    <s v="09B1"/>
    <s v="Y"/>
    <s v="Y"/>
    <s v="Unrecognized"/>
    <n v="8"/>
    <s v="AED"/>
    <n v="70.66"/>
    <n v="660.13"/>
    <n v="565.29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61764"/>
    <s v="1522778124:2"/>
    <s v="1.04.00"/>
    <s v="FP Labor - Remote Services Ctr"/>
    <s v="Labor"/>
    <s v="CO-C"/>
    <d v="2026-01-19T00:00:00"/>
    <x v="3"/>
    <x v="31"/>
    <s v="Employee"/>
    <s v="6"/>
    <s v="ORCL IN OSSI"/>
    <s v="504506 - 94V:GSC-eStudio"/>
    <s v="09B2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23442"/>
    <s v="3029619016703301"/>
    <s v="1.04.00"/>
    <s v="FP Labor - Remote Services Ctr"/>
    <s v="Labor"/>
    <s v="CO-C"/>
    <d v="2026-01-19T00:00:00"/>
    <x v="3"/>
    <x v="24"/>
    <s v="Billable Contractor"/>
    <m/>
    <s v="ORCL IN OSSI"/>
    <s v="504526 - 96V:GSC-DB &amp; Options"/>
    <s v="009B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668"/>
    <s v="1522964154:1"/>
    <s v="1.04.00"/>
    <s v="FP Labor - Remote Services Ctr"/>
    <s v="Labor"/>
    <s v="CO-C"/>
    <d v="2026-01-19T00:00:00"/>
    <x v="3"/>
    <x v="25"/>
    <s v="Employee"/>
    <s v="7"/>
    <s v="ORCL IN OSSI"/>
    <s v="504506 - 94V:GSC-eStudio"/>
    <s v="009B"/>
    <s v="Y"/>
    <s v="Y"/>
    <s v="Unrecognized"/>
    <n v="8"/>
    <s v="AED"/>
    <n v="113.54"/>
    <n v="813.38"/>
    <n v="908.3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6141"/>
    <s v="1524239616:1"/>
    <s v="1.04.00"/>
    <s v="FP Labor - Remote Services Ctr"/>
    <s v="Labor"/>
    <s v="CO-C"/>
    <d v="2026-01-19T00:00:00"/>
    <x v="3"/>
    <x v="32"/>
    <s v="Employee"/>
    <s v="5"/>
    <s v="ORCL IN OSSI"/>
    <s v="504546 - 98V:GSC-PaaS"/>
    <s v="09B2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758761"/>
    <s v="1522871090:1"/>
    <s v="1.04.00"/>
    <s v="FP Labor - Remote Services Ctr"/>
    <s v="Labor"/>
    <s v="CO-C"/>
    <d v="2026-01-19T00:00:00"/>
    <x v="3"/>
    <x v="33"/>
    <s v="Employee"/>
    <s v="6"/>
    <s v="ORCL IN OSSI"/>
    <s v="504526 - 96V:GSC-DB &amp; Options"/>
    <s v="09B1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7816"/>
    <s v="3029619063128461"/>
    <s v="1.04.00"/>
    <s v="FP Labor - Remote Services Ctr"/>
    <s v="Labor"/>
    <s v="CO-C"/>
    <d v="2026-01-20T00:00:00"/>
    <x v="3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7852"/>
    <s v="3029619305955721"/>
    <s v="1.04.00"/>
    <s v="FP Labor - Remote Services Ctr"/>
    <s v="Labor"/>
    <s v="CO-C"/>
    <d v="2026-01-20T00:00:00"/>
    <x v="3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4599"/>
    <s v="1522762124:1"/>
    <s v="1.04.00"/>
    <s v="FP Labor - Remote Services Ctr"/>
    <s v="Labor"/>
    <s v="CO-C"/>
    <d v="2026-01-20T00:00:00"/>
    <x v="3"/>
    <x v="15"/>
    <s v="Employee"/>
    <s v="6"/>
    <s v="ORCL IN OSSI"/>
    <s v="504526 - 96V:GSC-DB &amp; Options"/>
    <s v="09B2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4211"/>
    <s v="1522916638:1"/>
    <s v="1.04.00"/>
    <s v="FP Labor - Remote Services Ctr"/>
    <s v="Labor"/>
    <s v="CO-C"/>
    <d v="2026-01-20T00:00:00"/>
    <x v="3"/>
    <x v="27"/>
    <s v="Employee"/>
    <s v="6"/>
    <s v="ORCL IN OSSI"/>
    <s v="504526 - 96V:GSC-DB &amp; Options"/>
    <s v="09B4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5700"/>
    <s v="1522701265:1"/>
    <s v="1.04.00"/>
    <s v="FP Labor - Remote Services Ctr"/>
    <s v="Labor"/>
    <s v="CO-C"/>
    <d v="2026-01-20T00:00:00"/>
    <x v="3"/>
    <x v="16"/>
    <s v="Employee"/>
    <s v="5"/>
    <s v="ORCL IN OSSI"/>
    <s v="504526 - 96V:GSC-DB &amp; Options"/>
    <s v="09B1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6313"/>
    <s v="1522817501:1"/>
    <s v="1.04.00"/>
    <s v="FP Labor - Remote Services Ctr"/>
    <s v="Labor"/>
    <s v="CO-C"/>
    <d v="2026-01-20T00:00:00"/>
    <x v="3"/>
    <x v="17"/>
    <s v="Employee"/>
    <s v="5"/>
    <s v="ORCL IN OSSI"/>
    <s v="504526 - 96V:GSC-DB &amp; Options"/>
    <s v="09B3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4639"/>
    <s v="1523091673:1"/>
    <s v="1.04.00"/>
    <s v="FP Labor - Remote Services Ctr"/>
    <s v="Labor"/>
    <s v="CO-C"/>
    <d v="2026-01-20T00:00:00"/>
    <x v="3"/>
    <x v="18"/>
    <s v="Employee"/>
    <s v="5"/>
    <s v="ORCL IN OSSI"/>
    <s v="504526 - 96V:GSC-DB &amp; Options"/>
    <s v="09B1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3007"/>
    <s v="1522742998:1"/>
    <s v="1.04.00"/>
    <s v="FP Labor - Remote Services Ctr"/>
    <s v="Labor"/>
    <s v="CO-C"/>
    <d v="2026-01-20T00:00:00"/>
    <x v="3"/>
    <x v="19"/>
    <s v="Employee"/>
    <s v="4"/>
    <s v="ORCL IN OSSI"/>
    <s v="504526 - 96V:GSC-DB &amp; Options"/>
    <s v="09B4"/>
    <s v="Y"/>
    <s v="Y"/>
    <s v="Unrecognized"/>
    <n v="8"/>
    <s v="AED"/>
    <n v="70.66"/>
    <n v="542.25"/>
    <n v="565.2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4818"/>
    <s v="1523093742:2"/>
    <s v="1.04.00"/>
    <s v="FP Labor - Remote Services Ctr"/>
    <s v="Labor"/>
    <s v="CO-C"/>
    <d v="2026-01-20T00:00:00"/>
    <x v="3"/>
    <x v="28"/>
    <s v="Employee"/>
    <s v="6"/>
    <s v="ORCL IN OSSI"/>
    <s v="504526 - 96V:GSC-DB &amp; Options"/>
    <s v="09B4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3608"/>
    <s v="1523119584:1"/>
    <s v="1.04.00"/>
    <s v="FP Labor - Remote Services Ctr"/>
    <s v="Labor"/>
    <s v="CO-C"/>
    <d v="2026-01-20T00:00:00"/>
    <x v="3"/>
    <x v="20"/>
    <s v="Employee"/>
    <s v="4"/>
    <s v="ORCL IN OSSI"/>
    <s v="504506 - 94V:GSC-eStudio"/>
    <s v="09B4"/>
    <s v="Y"/>
    <s v="Y"/>
    <s v="Unrecognized"/>
    <n v="8"/>
    <s v="AED"/>
    <n v="70.66"/>
    <n v="542.25"/>
    <n v="565.2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3459"/>
    <s v="1522785118:1"/>
    <s v="1.04.00"/>
    <s v="FP Labor - Remote Services Ctr"/>
    <s v="Labor"/>
    <s v="CO-C"/>
    <d v="2026-01-20T00:00:00"/>
    <x v="3"/>
    <x v="21"/>
    <s v="Employee"/>
    <s v="5"/>
    <s v="ORCL IN OSSI"/>
    <s v="504526 - 96V:GSC-DB &amp; Options"/>
    <s v="09B4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3131"/>
    <s v="1522779695:1"/>
    <s v="1.04.00"/>
    <s v="FP Labor - Remote Services Ctr"/>
    <s v="Labor"/>
    <s v="CO-C"/>
    <d v="2026-01-20T00:00:00"/>
    <x v="3"/>
    <x v="29"/>
    <s v="Employee"/>
    <s v="6"/>
    <s v="ORCL IN OSSI"/>
    <s v="504506 - 94V:GSC-eStudio"/>
    <s v="09B2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7832"/>
    <s v="3029619340527881"/>
    <s v="1.04.00"/>
    <s v="FP Labor - Remote Services Ctr"/>
    <s v="Labor"/>
    <s v="CO-C"/>
    <d v="2026-01-20T00:00:00"/>
    <x v="3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7901"/>
    <s v="3029618337594221"/>
    <s v="1.04.00"/>
    <s v="FP Labor - Remote Services Ctr"/>
    <s v="Labor"/>
    <s v="CO-C"/>
    <d v="2026-01-20T00:00:00"/>
    <x v="3"/>
    <x v="13"/>
    <s v="Employee"/>
    <s v="8"/>
    <s v="ORCL EG"/>
    <s v="502416 - 3WP-EMEA Delivery Middleware - IaaS"/>
    <s v="008U"/>
    <s v="Y"/>
    <s v="Y"/>
    <s v="Unrecognized"/>
    <n v="8"/>
    <s v="AED"/>
    <n v="107.04"/>
    <n v="943.05"/>
    <n v="856.2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3314"/>
    <s v="1523115081:1"/>
    <s v="1.04.00"/>
    <s v="FP Labor - Remote Services Ctr"/>
    <s v="Labor"/>
    <s v="CO-C"/>
    <d v="2026-01-20T00:00:00"/>
    <x v="3"/>
    <x v="22"/>
    <s v="Employee"/>
    <s v="6"/>
    <s v="ORCL IN OSSI"/>
    <s v="504526 - 96V:GSC-DB &amp; Options"/>
    <s v="09B2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865"/>
    <s v="3029625738939121"/>
    <s v="1.04.00"/>
    <s v="FP Labor - Remote Services Ctr"/>
    <s v="Labor"/>
    <s v="CO-C"/>
    <d v="2026-01-20T00:00:00"/>
    <x v="3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5548"/>
    <s v="1523366662:1"/>
    <s v="1.04.00"/>
    <s v="FP Labor - Remote Services Ctr"/>
    <s v="Labor"/>
    <s v="CO-C"/>
    <d v="2026-01-20T00:00:00"/>
    <x v="3"/>
    <x v="23"/>
    <s v="Employee"/>
    <s v="5"/>
    <s v="ORCL IN OSSI"/>
    <s v="504526 - 96V:GSC-DB &amp; Options"/>
    <s v="09B1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4205"/>
    <s v="1522778125:2"/>
    <s v="1.04.00"/>
    <s v="FP Labor - Remote Services Ctr"/>
    <s v="Labor"/>
    <s v="CO-C"/>
    <d v="2026-01-20T00:00:00"/>
    <x v="3"/>
    <x v="31"/>
    <s v="Employee"/>
    <s v="6"/>
    <s v="ORCL IN OSSI"/>
    <s v="504506 - 94V:GSC-eStudio"/>
    <s v="09B2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37249"/>
    <s v="3029619016703321"/>
    <s v="1.04.00"/>
    <s v="FP Labor - Remote Services Ctr"/>
    <s v="Labor"/>
    <s v="CO-C"/>
    <d v="2026-01-20T00:00:00"/>
    <x v="3"/>
    <x v="24"/>
    <s v="Billable Contractor"/>
    <m/>
    <s v="ORCL IN OSSI"/>
    <s v="504526 - 96V:GSC-DB &amp; Options"/>
    <s v="009B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3515"/>
    <s v="1522964155:1"/>
    <s v="1.04.00"/>
    <s v="FP Labor - Remote Services Ctr"/>
    <s v="Labor"/>
    <s v="CO-C"/>
    <d v="2026-01-20T00:00:00"/>
    <x v="3"/>
    <x v="25"/>
    <s v="Employee"/>
    <s v="7"/>
    <s v="ORCL IN OSSI"/>
    <s v="504506 - 94V:GSC-eStudio"/>
    <s v="009B"/>
    <s v="Y"/>
    <s v="Y"/>
    <s v="Unrecognized"/>
    <n v="8"/>
    <s v="AED"/>
    <n v="113.54"/>
    <n v="813.38"/>
    <n v="908.3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04494"/>
    <s v="1524239617:1"/>
    <s v="1.04.00"/>
    <s v="FP Labor - Remote Services Ctr"/>
    <s v="Labor"/>
    <s v="CO-C"/>
    <d v="2026-01-20T00:00:00"/>
    <x v="3"/>
    <x v="32"/>
    <s v="Employee"/>
    <s v="5"/>
    <s v="ORCL IN OSSI"/>
    <s v="504546 - 98V:GSC-PaaS"/>
    <s v="09B2"/>
    <s v="Y"/>
    <s v="Y"/>
    <s v="Unrecognized"/>
    <n v="8"/>
    <s v="AED"/>
    <n v="70.66"/>
    <n v="660.13"/>
    <n v="565.2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6055"/>
    <s v="1522871091:1"/>
    <s v="1.04.00"/>
    <s v="FP Labor - Remote Services Ctr"/>
    <s v="Labor"/>
    <s v="CO-C"/>
    <d v="2026-01-20T00:00:00"/>
    <x v="3"/>
    <x v="33"/>
    <s v="Employee"/>
    <s v="6"/>
    <s v="ORCL IN OSSI"/>
    <s v="504526 - 96V:GSC-DB &amp; Options"/>
    <s v="09B1"/>
    <s v="Y"/>
    <s v="Y"/>
    <s v="Unrecognized"/>
    <n v="8"/>
    <s v="AED"/>
    <n v="113.54"/>
    <n v="754.44"/>
    <n v="908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06"/>
    <s v="3029631795017851"/>
    <s v="1.04.00"/>
    <s v="FP Labor - Remote Services Ctr"/>
    <s v="Labor"/>
    <s v="CO-C"/>
    <d v="2026-01-21T00:00:00"/>
    <x v="3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30944"/>
    <s v="1522762123:1"/>
    <s v="1.04.00"/>
    <s v="FP Labor - Remote Services Ctr"/>
    <s v="Labor"/>
    <s v="CO-C"/>
    <d v="2026-01-21T00:00:00"/>
    <x v="3"/>
    <x v="15"/>
    <s v="Employee"/>
    <s v="6"/>
    <s v="ORCL IN OSSI"/>
    <s v="504526 - 96V:GSC-DB &amp; Options"/>
    <s v="09B2"/>
    <s v="Y"/>
    <s v="Y"/>
    <s v="Unrecognized"/>
    <n v="8"/>
    <s v="AED"/>
    <n v="113.4"/>
    <n v="754.44"/>
    <n v="907.2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30674"/>
    <s v="1522916639:1"/>
    <s v="1.04.00"/>
    <s v="FP Labor - Remote Services Ctr"/>
    <s v="Labor"/>
    <s v="CO-C"/>
    <d v="2026-01-21T00:00:00"/>
    <x v="3"/>
    <x v="27"/>
    <s v="Employee"/>
    <s v="6"/>
    <s v="ORCL IN OSSI"/>
    <s v="504526 - 96V:GSC-DB &amp; Options"/>
    <s v="09B4"/>
    <s v="Y"/>
    <s v="Y"/>
    <s v="Unrecognized"/>
    <n v="8"/>
    <s v="AED"/>
    <n v="113.4"/>
    <n v="754.44"/>
    <n v="907.2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59441"/>
    <s v="1522701266:1"/>
    <s v="1.04.00"/>
    <s v="FP Labor - Remote Services Ctr"/>
    <s v="Labor"/>
    <s v="CO-C"/>
    <d v="2026-01-21T00:00:00"/>
    <x v="3"/>
    <x v="16"/>
    <s v="Employee"/>
    <s v="5"/>
    <s v="ORCL IN OSSI"/>
    <s v="504526 - 96V:GSC-DB &amp; Options"/>
    <s v="09B1"/>
    <s v="Y"/>
    <s v="Y"/>
    <s v="Unrecognized"/>
    <n v="8"/>
    <s v="AED"/>
    <n v="70.58"/>
    <n v="660.13"/>
    <n v="564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2219"/>
    <s v="1522817502:1"/>
    <s v="1.04.00"/>
    <s v="FP Labor - Remote Services Ctr"/>
    <s v="Labor"/>
    <s v="CO-C"/>
    <d v="2026-01-21T00:00:00"/>
    <x v="3"/>
    <x v="17"/>
    <s v="Employee"/>
    <s v="5"/>
    <s v="ORCL IN OSSI"/>
    <s v="504526 - 96V:GSC-DB &amp; Options"/>
    <s v="09B3"/>
    <s v="Y"/>
    <s v="Y"/>
    <s v="Unrecognized"/>
    <n v="8"/>
    <s v="AED"/>
    <n v="70.58"/>
    <n v="660.13"/>
    <n v="564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59435"/>
    <s v="1523091675:1"/>
    <s v="1.04.00"/>
    <s v="FP Labor - Remote Services Ctr"/>
    <s v="Labor"/>
    <s v="CO-C"/>
    <d v="2026-01-21T00:00:00"/>
    <x v="3"/>
    <x v="18"/>
    <s v="Employee"/>
    <s v="5"/>
    <s v="ORCL IN OSSI"/>
    <s v="504526 - 96V:GSC-DB &amp; Options"/>
    <s v="09B1"/>
    <s v="Y"/>
    <s v="Y"/>
    <s v="Unrecognized"/>
    <n v="8"/>
    <s v="AED"/>
    <n v="70.58"/>
    <n v="660.13"/>
    <n v="564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1144"/>
    <s v="1522742997:1"/>
    <s v="1.04.00"/>
    <s v="FP Labor - Remote Services Ctr"/>
    <s v="Labor"/>
    <s v="CO-C"/>
    <d v="2026-01-21T00:00:00"/>
    <x v="3"/>
    <x v="19"/>
    <s v="Employee"/>
    <s v="4"/>
    <s v="ORCL IN OSSI"/>
    <s v="504526 - 96V:GSC-DB &amp; Options"/>
    <s v="09B4"/>
    <s v="Y"/>
    <s v="Y"/>
    <s v="Unrecognized"/>
    <n v="8"/>
    <s v="AED"/>
    <n v="70.58"/>
    <n v="542.25"/>
    <n v="564.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2322"/>
    <s v="1523093743:2"/>
    <s v="1.04.00"/>
    <s v="FP Labor - Remote Services Ctr"/>
    <s v="Labor"/>
    <s v="CO-C"/>
    <d v="2026-01-21T00:00:00"/>
    <x v="3"/>
    <x v="28"/>
    <s v="Employee"/>
    <s v="6"/>
    <s v="ORCL IN OSSI"/>
    <s v="504526 - 96V:GSC-DB &amp; Options"/>
    <s v="09B4"/>
    <s v="Y"/>
    <s v="Y"/>
    <s v="Unrecognized"/>
    <n v="8"/>
    <s v="AED"/>
    <n v="113.4"/>
    <n v="754.44"/>
    <n v="907.2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59115"/>
    <s v="1523119585:1"/>
    <s v="1.04.00"/>
    <s v="FP Labor - Remote Services Ctr"/>
    <s v="Labor"/>
    <s v="CO-C"/>
    <d v="2026-01-21T00:00:00"/>
    <x v="3"/>
    <x v="20"/>
    <s v="Employee"/>
    <s v="4"/>
    <s v="ORCL IN OSSI"/>
    <s v="504506 - 94V:GSC-eStudio"/>
    <s v="09B4"/>
    <s v="Y"/>
    <s v="Y"/>
    <s v="Unrecognized"/>
    <n v="8"/>
    <s v="AED"/>
    <n v="70.58"/>
    <n v="542.25"/>
    <n v="564.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0362"/>
    <s v="1522785119:1"/>
    <s v="1.04.00"/>
    <s v="FP Labor - Remote Services Ctr"/>
    <s v="Labor"/>
    <s v="CO-C"/>
    <d v="2026-01-21T00:00:00"/>
    <x v="3"/>
    <x v="21"/>
    <s v="Employee"/>
    <s v="5"/>
    <s v="ORCL IN OSSI"/>
    <s v="504526 - 96V:GSC-DB &amp; Options"/>
    <s v="09B4"/>
    <s v="Y"/>
    <s v="Y"/>
    <s v="Unrecognized"/>
    <n v="8"/>
    <s v="AED"/>
    <n v="70.58"/>
    <n v="660.13"/>
    <n v="564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27264"/>
    <s v="3029619340527901"/>
    <s v="1.04.00"/>
    <s v="FP Labor - Remote Services Ctr"/>
    <s v="Labor"/>
    <s v="CO-C"/>
    <d v="2026-01-21T00:00:00"/>
    <x v="3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27026"/>
    <s v="3029618337594241"/>
    <s v="1.04.00"/>
    <s v="FP Labor - Remote Services Ctr"/>
    <s v="Labor"/>
    <s v="CO-C"/>
    <d v="2026-01-21T00:00:00"/>
    <x v="3"/>
    <x v="13"/>
    <s v="Employee"/>
    <s v="8"/>
    <s v="ORCL EG"/>
    <s v="502416 - 3WP-EMEA Delivery Middleware - IaaS"/>
    <s v="008U"/>
    <s v="Y"/>
    <s v="Y"/>
    <s v="Unrecognized"/>
    <n v="8"/>
    <s v="AED"/>
    <n v="106.59"/>
    <n v="943.05"/>
    <n v="852.6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59424"/>
    <s v="1523115082:1"/>
    <s v="1.04.00"/>
    <s v="FP Labor - Remote Services Ctr"/>
    <s v="Labor"/>
    <s v="CO-C"/>
    <d v="2026-01-21T00:00:00"/>
    <x v="3"/>
    <x v="22"/>
    <s v="Employee"/>
    <s v="6"/>
    <s v="ORCL IN OSSI"/>
    <s v="504526 - 96V:GSC-DB &amp; Options"/>
    <s v="09B2"/>
    <s v="Y"/>
    <s v="Y"/>
    <s v="Unrecognized"/>
    <n v="8"/>
    <s v="AED"/>
    <n v="113.4"/>
    <n v="754.44"/>
    <n v="907.2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864"/>
    <s v="3029625738939141"/>
    <s v="1.04.00"/>
    <s v="FP Labor - Remote Services Ctr"/>
    <s v="Labor"/>
    <s v="CO-C"/>
    <d v="2026-01-21T00:00:00"/>
    <x v="3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1297"/>
    <s v="1523366663:1"/>
    <s v="1.04.00"/>
    <s v="FP Labor - Remote Services Ctr"/>
    <s v="Labor"/>
    <s v="CO-C"/>
    <d v="2026-01-21T00:00:00"/>
    <x v="3"/>
    <x v="23"/>
    <s v="Employee"/>
    <s v="5"/>
    <s v="ORCL IN OSSI"/>
    <s v="504526 - 96V:GSC-DB &amp; Options"/>
    <s v="09B1"/>
    <s v="Y"/>
    <s v="Y"/>
    <s v="Unrecognized"/>
    <n v="8"/>
    <s v="AED"/>
    <n v="70.58"/>
    <n v="660.13"/>
    <n v="564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2306"/>
    <s v="1522778128:2"/>
    <s v="1.04.00"/>
    <s v="FP Labor - Remote Services Ctr"/>
    <s v="Labor"/>
    <s v="CO-C"/>
    <d v="2026-01-21T00:00:00"/>
    <x v="3"/>
    <x v="31"/>
    <s v="Employee"/>
    <s v="6"/>
    <s v="ORCL IN OSSI"/>
    <s v="504506 - 94V:GSC-eStudio"/>
    <s v="09B2"/>
    <s v="Y"/>
    <s v="Y"/>
    <s v="Unrecognized"/>
    <n v="8"/>
    <s v="AED"/>
    <n v="113.4"/>
    <n v="754.44"/>
    <n v="907.2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59789"/>
    <s v="1522964156:1"/>
    <s v="1.04.00"/>
    <s v="FP Labor - Remote Services Ctr"/>
    <s v="Labor"/>
    <s v="CO-C"/>
    <d v="2026-01-21T00:00:00"/>
    <x v="3"/>
    <x v="25"/>
    <s v="Employee"/>
    <s v="7"/>
    <s v="ORCL IN OSSI"/>
    <s v="504506 - 94V:GSC-eStudio"/>
    <s v="009B"/>
    <s v="Y"/>
    <s v="Y"/>
    <s v="Unrecognized"/>
    <n v="8"/>
    <s v="AED"/>
    <n v="113.4"/>
    <n v="813.38"/>
    <n v="907.2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1200"/>
    <s v="1524239618:1"/>
    <s v="1.04.00"/>
    <s v="FP Labor - Remote Services Ctr"/>
    <s v="Labor"/>
    <s v="CO-C"/>
    <d v="2026-01-21T00:00:00"/>
    <x v="3"/>
    <x v="32"/>
    <s v="Employee"/>
    <s v="5"/>
    <s v="ORCL IN OSSI"/>
    <s v="504546 - 98V:GSC-PaaS"/>
    <s v="09B2"/>
    <s v="Y"/>
    <s v="Y"/>
    <s v="Unrecognized"/>
    <n v="8"/>
    <s v="AED"/>
    <n v="70.58"/>
    <n v="660.13"/>
    <n v="564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860977"/>
    <s v="1522871092:1"/>
    <s v="1.04.00"/>
    <s v="FP Labor - Remote Services Ctr"/>
    <s v="Labor"/>
    <s v="CO-C"/>
    <d v="2026-01-21T00:00:00"/>
    <x v="3"/>
    <x v="33"/>
    <s v="Employee"/>
    <s v="6"/>
    <s v="ORCL IN OSSI"/>
    <s v="504526 - 96V:GSC-DB &amp; Options"/>
    <s v="09B1"/>
    <s v="Y"/>
    <s v="Y"/>
    <s v="Unrecognized"/>
    <n v="8"/>
    <s v="AED"/>
    <n v="113.4"/>
    <n v="754.44"/>
    <n v="907.2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8758"/>
    <s v="1522762122:1"/>
    <s v="1.04.00"/>
    <s v="FP Labor - Remote Services Ctr"/>
    <s v="Labor"/>
    <s v="CO-C"/>
    <d v="2026-01-22T00:00:00"/>
    <x v="3"/>
    <x v="15"/>
    <s v="Employee"/>
    <s v="6"/>
    <s v="ORCL IN OSSI"/>
    <s v="504526 - 96V:GSC-DB &amp; Options"/>
    <s v="09B2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8737"/>
    <s v="1522916640:1"/>
    <s v="1.04.00"/>
    <s v="FP Labor - Remote Services Ctr"/>
    <s v="Labor"/>
    <s v="CO-C"/>
    <d v="2026-01-22T00:00:00"/>
    <x v="3"/>
    <x v="27"/>
    <s v="Employee"/>
    <s v="6"/>
    <s v="ORCL IN OSSI"/>
    <s v="504526 - 96V:GSC-DB &amp; Options"/>
    <s v="09B4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6195"/>
    <s v="1522701267:1"/>
    <s v="1.04.00"/>
    <s v="FP Labor - Remote Services Ctr"/>
    <s v="Labor"/>
    <s v="CO-C"/>
    <d v="2026-01-22T00:00:00"/>
    <x v="3"/>
    <x v="16"/>
    <s v="Employee"/>
    <s v="5"/>
    <s v="ORCL IN OSSI"/>
    <s v="504526 - 96V:GSC-DB &amp; Options"/>
    <s v="09B1"/>
    <s v="Y"/>
    <s v="Y"/>
    <s v="Unrecognized"/>
    <n v="8"/>
    <s v="AED"/>
    <n v="70.02"/>
    <n v="660.13"/>
    <n v="560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20173"/>
    <s v="1522817503:1"/>
    <s v="1.04.00"/>
    <s v="FP Labor - Remote Services Ctr"/>
    <s v="Labor"/>
    <s v="CO-C"/>
    <d v="2026-01-22T00:00:00"/>
    <x v="3"/>
    <x v="17"/>
    <s v="Employee"/>
    <s v="5"/>
    <s v="ORCL IN OSSI"/>
    <s v="504526 - 96V:GSC-DB &amp; Options"/>
    <s v="09B3"/>
    <s v="Y"/>
    <s v="Y"/>
    <s v="Unrecognized"/>
    <n v="8"/>
    <s v="AED"/>
    <n v="70.02"/>
    <n v="660.13"/>
    <n v="560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9061"/>
    <s v="1523091678:2"/>
    <s v="1.04.00"/>
    <s v="FP Labor - Remote Services Ctr"/>
    <s v="Labor"/>
    <s v="CO-C"/>
    <d v="2026-01-22T00:00:00"/>
    <x v="3"/>
    <x v="18"/>
    <s v="Employee"/>
    <s v="5"/>
    <s v="ORCL IN OSSI"/>
    <s v="504526 - 96V:GSC-DB &amp; Options"/>
    <s v="09B1"/>
    <s v="Y"/>
    <s v="Y"/>
    <s v="Unrecognized"/>
    <n v="8"/>
    <s v="AED"/>
    <n v="70.02"/>
    <n v="660.13"/>
    <n v="560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9717"/>
    <s v="1522742996:1"/>
    <s v="1.04.00"/>
    <s v="FP Labor - Remote Services Ctr"/>
    <s v="Labor"/>
    <s v="CO-C"/>
    <d v="2026-01-22T00:00:00"/>
    <x v="3"/>
    <x v="19"/>
    <s v="Employee"/>
    <s v="4"/>
    <s v="ORCL IN OSSI"/>
    <s v="504526 - 96V:GSC-DB &amp; Options"/>
    <s v="09B4"/>
    <s v="Y"/>
    <s v="Y"/>
    <s v="Unrecognized"/>
    <n v="8"/>
    <s v="AED"/>
    <n v="70.02"/>
    <n v="542.25"/>
    <n v="560.1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4916"/>
    <s v="1523093744:2"/>
    <s v="1.04.00"/>
    <s v="FP Labor - Remote Services Ctr"/>
    <s v="Labor"/>
    <s v="CO-C"/>
    <d v="2026-01-22T00:00:00"/>
    <x v="3"/>
    <x v="28"/>
    <s v="Employee"/>
    <s v="6"/>
    <s v="ORCL IN OSSI"/>
    <s v="504526 - 96V:GSC-DB &amp; Options"/>
    <s v="09B4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9060"/>
    <s v="1523119586:1"/>
    <s v="1.04.00"/>
    <s v="FP Labor - Remote Services Ctr"/>
    <s v="Labor"/>
    <s v="CO-C"/>
    <d v="2026-01-22T00:00:00"/>
    <x v="3"/>
    <x v="20"/>
    <s v="Employee"/>
    <s v="4"/>
    <s v="ORCL IN OSSI"/>
    <s v="504506 - 94V:GSC-eStudio"/>
    <s v="09B4"/>
    <s v="Y"/>
    <s v="Y"/>
    <s v="Unrecognized"/>
    <n v="8"/>
    <s v="AED"/>
    <n v="70.02"/>
    <n v="542.25"/>
    <n v="560.1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4516"/>
    <s v="1522785120:1"/>
    <s v="1.04.00"/>
    <s v="FP Labor - Remote Services Ctr"/>
    <s v="Labor"/>
    <s v="CO-C"/>
    <d v="2026-01-22T00:00:00"/>
    <x v="3"/>
    <x v="21"/>
    <s v="Employee"/>
    <s v="5"/>
    <s v="ORCL IN OSSI"/>
    <s v="504526 - 96V:GSC-DB &amp; Options"/>
    <s v="09B4"/>
    <s v="Y"/>
    <s v="Y"/>
    <s v="Unrecognized"/>
    <n v="8"/>
    <s v="AED"/>
    <n v="70.02"/>
    <n v="660.13"/>
    <n v="560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9093"/>
    <s v="1522779693:1"/>
    <s v="1.04.00"/>
    <s v="FP Labor - Remote Services Ctr"/>
    <s v="Labor"/>
    <s v="CO-C"/>
    <d v="2026-01-22T00:00:00"/>
    <x v="3"/>
    <x v="29"/>
    <s v="Employee"/>
    <s v="6"/>
    <s v="ORCL IN OSSI"/>
    <s v="504506 - 94V:GSC-eStudio"/>
    <s v="09B2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3062"/>
    <s v="3029619340527921"/>
    <s v="1.04.00"/>
    <s v="FP Labor - Remote Services Ctr"/>
    <s v="Labor"/>
    <s v="CO-C"/>
    <d v="2026-01-22T00:00:00"/>
    <x v="3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31"/>
    <s v="3029631825850721"/>
    <s v="1.04.00"/>
    <s v="FP Labor - Remote Services Ctr"/>
    <s v="Labor"/>
    <s v="CO-C"/>
    <d v="2026-01-22T00:00:00"/>
    <x v="3"/>
    <x v="13"/>
    <s v="Employee"/>
    <s v="8"/>
    <s v="ORCL EG"/>
    <s v="502416 - 3WP-EMEA Delivery Middleware - IaaS"/>
    <s v="008U"/>
    <s v="Y"/>
    <s v="Y"/>
    <s v="Unrecognized"/>
    <n v="8"/>
    <s v="AED"/>
    <n v="106.82"/>
    <n v="943.05"/>
    <n v="854.5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9446"/>
    <s v="1523115083:1"/>
    <s v="1.04.00"/>
    <s v="FP Labor - Remote Services Ctr"/>
    <s v="Labor"/>
    <s v="CO-C"/>
    <d v="2026-01-22T00:00:00"/>
    <x v="3"/>
    <x v="22"/>
    <s v="Employee"/>
    <s v="6"/>
    <s v="ORCL IN OSSI"/>
    <s v="504526 - 96V:GSC-DB &amp; Options"/>
    <s v="09B2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863"/>
    <s v="3029625738939161"/>
    <s v="1.04.00"/>
    <s v="FP Labor - Remote Services Ctr"/>
    <s v="Labor"/>
    <s v="CO-C"/>
    <d v="2026-01-22T00:00:00"/>
    <x v="3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0523"/>
    <s v="1523366664:1"/>
    <s v="1.04.00"/>
    <s v="FP Labor - Remote Services Ctr"/>
    <s v="Labor"/>
    <s v="CO-C"/>
    <d v="2026-01-22T00:00:00"/>
    <x v="3"/>
    <x v="23"/>
    <s v="Employee"/>
    <s v="5"/>
    <s v="ORCL IN OSSI"/>
    <s v="504526 - 96V:GSC-DB &amp; Options"/>
    <s v="09B1"/>
    <s v="Y"/>
    <s v="Y"/>
    <s v="Unrecognized"/>
    <n v="8"/>
    <s v="AED"/>
    <n v="70.02"/>
    <n v="660.13"/>
    <n v="560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8305"/>
    <s v="1522778126:2"/>
    <s v="1.04.00"/>
    <s v="FP Labor - Remote Services Ctr"/>
    <s v="Labor"/>
    <s v="CO-C"/>
    <d v="2026-01-22T00:00:00"/>
    <x v="3"/>
    <x v="31"/>
    <s v="Employee"/>
    <s v="6"/>
    <s v="ORCL IN OSSI"/>
    <s v="504506 - 94V:GSC-eStudio"/>
    <s v="09B2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1997786"/>
    <s v="3029623368487391"/>
    <s v="1.04.00"/>
    <s v="FP Labor - Remote Services Ctr"/>
    <s v="Labor"/>
    <s v="CO-C"/>
    <d v="2026-01-22T00:00:00"/>
    <x v="3"/>
    <x v="24"/>
    <s v="Billable Contractor"/>
    <m/>
    <s v="ORCL IN OSSI"/>
    <s v="504526 - 96V:GSC-DB &amp; Options"/>
    <s v="009B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7474"/>
    <s v="1522964159:1"/>
    <s v="1.04.00"/>
    <s v="FP Labor - Remote Services Ctr"/>
    <s v="Labor"/>
    <s v="CO-C"/>
    <d v="2026-01-22T00:00:00"/>
    <x v="3"/>
    <x v="25"/>
    <s v="Employee"/>
    <s v="7"/>
    <s v="ORCL IN OSSI"/>
    <s v="504506 - 94V:GSC-eStudio"/>
    <s v="009B"/>
    <s v="Y"/>
    <s v="Y"/>
    <s v="Unrecognized"/>
    <n v="8"/>
    <s v="AED"/>
    <n v="112.51"/>
    <n v="813.38"/>
    <n v="900.07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14363"/>
    <s v="1524239620:1"/>
    <s v="1.04.00"/>
    <s v="FP Labor - Remote Services Ctr"/>
    <s v="Labor"/>
    <s v="CO-C"/>
    <d v="2026-01-22T00:00:00"/>
    <x v="3"/>
    <x v="32"/>
    <s v="Employee"/>
    <s v="5"/>
    <s v="ORCL IN OSSI"/>
    <s v="504546 - 98V:GSC-PaaS"/>
    <s v="09B2"/>
    <s v="Y"/>
    <s v="Y"/>
    <s v="Unrecognized"/>
    <n v="8"/>
    <s v="AED"/>
    <n v="70.02"/>
    <n v="660.13"/>
    <n v="560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009288"/>
    <s v="1522871093:1"/>
    <s v="1.04.00"/>
    <s v="FP Labor - Remote Services Ctr"/>
    <s v="Labor"/>
    <s v="CO-C"/>
    <d v="2026-01-22T00:00:00"/>
    <x v="3"/>
    <x v="33"/>
    <s v="Employee"/>
    <s v="6"/>
    <s v="ORCL IN OSSI"/>
    <s v="504526 - 96V:GSC-DB &amp; Options"/>
    <s v="09B1"/>
    <s v="Y"/>
    <s v="Y"/>
    <s v="Unrecognized"/>
    <n v="8"/>
    <s v="AED"/>
    <n v="112.51"/>
    <n v="754.44"/>
    <n v="90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071"/>
    <s v="3029631796823631"/>
    <s v="1.04.00"/>
    <s v="FP Labor - Remote Services Ctr"/>
    <s v="Labor"/>
    <s v="CO-C"/>
    <d v="2026-01-23T00:00:00"/>
    <x v="3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28654"/>
    <s v="1522762121:1"/>
    <s v="1.04.00"/>
    <s v="FP Labor - Remote Services Ctr"/>
    <s v="Labor"/>
    <s v="CO-C"/>
    <d v="2026-01-23T00:00:00"/>
    <x v="3"/>
    <x v="15"/>
    <s v="Employee"/>
    <s v="6"/>
    <s v="ORCL IN OSSI"/>
    <s v="504526 - 96V:GSC-DB &amp; Options"/>
    <s v="09B2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7774"/>
    <s v="1522916641:1"/>
    <s v="1.04.00"/>
    <s v="FP Labor - Remote Services Ctr"/>
    <s v="Labor"/>
    <s v="CO-C"/>
    <d v="2026-01-23T00:00:00"/>
    <x v="3"/>
    <x v="27"/>
    <s v="Employee"/>
    <s v="6"/>
    <s v="ORCL IN OSSI"/>
    <s v="504526 - 96V:GSC-DB &amp; Options"/>
    <s v="09B4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27548"/>
    <s v="1522701268:1"/>
    <s v="1.04.00"/>
    <s v="FP Labor - Remote Services Ctr"/>
    <s v="Labor"/>
    <s v="CO-C"/>
    <d v="2026-01-23T00:00:00"/>
    <x v="3"/>
    <x v="16"/>
    <s v="Employee"/>
    <s v="5"/>
    <s v="ORCL IN OSSI"/>
    <s v="504526 - 96V:GSC-DB &amp; Options"/>
    <s v="09B1"/>
    <s v="Y"/>
    <s v="Y"/>
    <s v="Unrecognized"/>
    <n v="8"/>
    <s v="AED"/>
    <n v="70.08"/>
    <n v="660.13"/>
    <n v="560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5960"/>
    <s v="1522817504:1"/>
    <s v="1.04.00"/>
    <s v="FP Labor - Remote Services Ctr"/>
    <s v="Labor"/>
    <s v="CO-C"/>
    <d v="2026-01-23T00:00:00"/>
    <x v="3"/>
    <x v="17"/>
    <s v="Employee"/>
    <s v="5"/>
    <s v="ORCL IN OSSI"/>
    <s v="504526 - 96V:GSC-DB &amp; Options"/>
    <s v="09B3"/>
    <s v="Y"/>
    <s v="Y"/>
    <s v="Unrecognized"/>
    <n v="8"/>
    <s v="AED"/>
    <n v="70.08"/>
    <n v="660.13"/>
    <n v="560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7988"/>
    <s v="1523091679:1"/>
    <s v="1.04.00"/>
    <s v="FP Labor - Remote Services Ctr"/>
    <s v="Labor"/>
    <s v="CO-C"/>
    <d v="2026-01-23T00:00:00"/>
    <x v="3"/>
    <x v="18"/>
    <s v="Employee"/>
    <s v="5"/>
    <s v="ORCL IN OSSI"/>
    <s v="504526 - 96V:GSC-DB &amp; Options"/>
    <s v="09B1"/>
    <s v="Y"/>
    <s v="Y"/>
    <s v="Unrecognized"/>
    <n v="8"/>
    <s v="AED"/>
    <n v="70.08"/>
    <n v="660.13"/>
    <n v="560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7667"/>
    <s v="1522742995:1"/>
    <s v="1.04.00"/>
    <s v="FP Labor - Remote Services Ctr"/>
    <s v="Labor"/>
    <s v="CO-C"/>
    <d v="2026-01-23T00:00:00"/>
    <x v="3"/>
    <x v="19"/>
    <s v="Employee"/>
    <s v="4"/>
    <s v="ORCL IN OSSI"/>
    <s v="504526 - 96V:GSC-DB &amp; Options"/>
    <s v="09B4"/>
    <s v="Y"/>
    <s v="Y"/>
    <s v="Unrecognized"/>
    <n v="8"/>
    <s v="AED"/>
    <n v="70.08"/>
    <n v="542.25"/>
    <n v="560.6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8505"/>
    <s v="1523093745:2"/>
    <s v="1.04.00"/>
    <s v="FP Labor - Remote Services Ctr"/>
    <s v="Labor"/>
    <s v="CO-C"/>
    <d v="2026-01-23T00:00:00"/>
    <x v="3"/>
    <x v="28"/>
    <s v="Employee"/>
    <s v="6"/>
    <s v="ORCL IN OSSI"/>
    <s v="504526 - 96V:GSC-DB &amp; Options"/>
    <s v="09B4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4492"/>
    <s v="1523119587:1"/>
    <s v="1.04.00"/>
    <s v="FP Labor - Remote Services Ctr"/>
    <s v="Labor"/>
    <s v="CO-C"/>
    <d v="2026-01-23T00:00:00"/>
    <x v="3"/>
    <x v="20"/>
    <s v="Employee"/>
    <s v="4"/>
    <s v="ORCL IN OSSI"/>
    <s v="504506 - 94V:GSC-eStudio"/>
    <s v="09B4"/>
    <s v="Y"/>
    <s v="Y"/>
    <s v="Unrecognized"/>
    <n v="8"/>
    <s v="AED"/>
    <n v="70.08"/>
    <n v="542.25"/>
    <n v="560.6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28132"/>
    <s v="1522785121:1"/>
    <s v="1.04.00"/>
    <s v="FP Labor - Remote Services Ctr"/>
    <s v="Labor"/>
    <s v="CO-C"/>
    <d v="2026-01-23T00:00:00"/>
    <x v="3"/>
    <x v="21"/>
    <s v="Employee"/>
    <s v="5"/>
    <s v="ORCL IN OSSI"/>
    <s v="504526 - 96V:GSC-DB &amp; Options"/>
    <s v="09B4"/>
    <s v="Y"/>
    <s v="Y"/>
    <s v="Unrecognized"/>
    <n v="8"/>
    <s v="AED"/>
    <n v="70.08"/>
    <n v="660.13"/>
    <n v="560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27714"/>
    <s v="1522779692:1"/>
    <s v="1.04.00"/>
    <s v="FP Labor - Remote Services Ctr"/>
    <s v="Labor"/>
    <s v="CO-C"/>
    <d v="2026-01-23T00:00:00"/>
    <x v="3"/>
    <x v="29"/>
    <s v="Employee"/>
    <s v="6"/>
    <s v="ORCL IN OSSI"/>
    <s v="504506 - 94V:GSC-eStudio"/>
    <s v="09B2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21096"/>
    <s v="3029619340527941"/>
    <s v="1.04.00"/>
    <s v="FP Labor - Remote Services Ctr"/>
    <s v="Labor"/>
    <s v="CO-C"/>
    <d v="2026-01-23T00:00:00"/>
    <x v="3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30"/>
    <s v="3029631825850741"/>
    <s v="1.04.00"/>
    <s v="FP Labor - Remote Services Ctr"/>
    <s v="Labor"/>
    <s v="CO-C"/>
    <d v="2026-01-23T00:00:00"/>
    <x v="3"/>
    <x v="13"/>
    <s v="Employee"/>
    <s v="8"/>
    <s v="ORCL EG"/>
    <s v="502416 - 3WP-EMEA Delivery Middleware - IaaS"/>
    <s v="008U"/>
    <s v="Y"/>
    <s v="Y"/>
    <s v="Unrecognized"/>
    <n v="8"/>
    <s v="AED"/>
    <n v="107.33"/>
    <n v="943.05"/>
    <n v="858.6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7090"/>
    <s v="1523115084:1"/>
    <s v="1.04.00"/>
    <s v="FP Labor - Remote Services Ctr"/>
    <s v="Labor"/>
    <s v="CO-C"/>
    <d v="2026-01-23T00:00:00"/>
    <x v="3"/>
    <x v="22"/>
    <s v="Employee"/>
    <s v="6"/>
    <s v="ORCL IN OSSI"/>
    <s v="504526 - 96V:GSC-DB &amp; Options"/>
    <s v="09B2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7967"/>
    <s v="1523366665:1"/>
    <s v="1.04.00"/>
    <s v="FP Labor - Remote Services Ctr"/>
    <s v="Labor"/>
    <s v="CO-C"/>
    <d v="2026-01-23T00:00:00"/>
    <x v="3"/>
    <x v="23"/>
    <s v="Employee"/>
    <s v="5"/>
    <s v="ORCL IN OSSI"/>
    <s v="504526 - 96V:GSC-DB &amp; Options"/>
    <s v="09B1"/>
    <s v="Y"/>
    <s v="Y"/>
    <s v="Unrecognized"/>
    <n v="8"/>
    <s v="AED"/>
    <n v="70.08"/>
    <n v="660.13"/>
    <n v="560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5546"/>
    <s v="1522778127:2"/>
    <s v="1.04.00"/>
    <s v="FP Labor - Remote Services Ctr"/>
    <s v="Labor"/>
    <s v="CO-C"/>
    <d v="2026-01-23T00:00:00"/>
    <x v="3"/>
    <x v="31"/>
    <s v="Employee"/>
    <s v="6"/>
    <s v="ORCL IN OSSI"/>
    <s v="504506 - 94V:GSC-eStudio"/>
    <s v="09B2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19725"/>
    <s v="3029619016703381"/>
    <s v="1.04.00"/>
    <s v="FP Labor - Remote Services Ctr"/>
    <s v="Labor"/>
    <s v="CO-C"/>
    <d v="2026-01-23T00:00:00"/>
    <x v="3"/>
    <x v="24"/>
    <s v="Billable Contractor"/>
    <m/>
    <s v="ORCL IN OSSI"/>
    <s v="504526 - 96V:GSC-DB &amp; Options"/>
    <s v="009B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28818"/>
    <s v="1522964157:1"/>
    <s v="1.04.00"/>
    <s v="FP Labor - Remote Services Ctr"/>
    <s v="Labor"/>
    <s v="CO-C"/>
    <d v="2026-01-23T00:00:00"/>
    <x v="3"/>
    <x v="25"/>
    <s v="Employee"/>
    <s v="7"/>
    <s v="ORCL IN OSSI"/>
    <s v="504506 - 94V:GSC-eStudio"/>
    <s v="009B"/>
    <s v="Y"/>
    <s v="Y"/>
    <s v="Unrecognized"/>
    <n v="8"/>
    <s v="AED"/>
    <n v="112.6"/>
    <n v="813.38"/>
    <n v="900.8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3147"/>
    <s v="1524239619:1"/>
    <s v="1.04.00"/>
    <s v="FP Labor - Remote Services Ctr"/>
    <s v="Labor"/>
    <s v="CO-C"/>
    <d v="2026-01-23T00:00:00"/>
    <x v="3"/>
    <x v="32"/>
    <s v="Employee"/>
    <s v="5"/>
    <s v="ORCL IN OSSI"/>
    <s v="504546 - 98V:GSC-PaaS"/>
    <s v="09B2"/>
    <s v="Y"/>
    <s v="Y"/>
    <s v="Unrecognized"/>
    <n v="8"/>
    <s v="AED"/>
    <n v="70.08"/>
    <n v="660.13"/>
    <n v="560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149137"/>
    <s v="1522871094:1"/>
    <s v="1.04.00"/>
    <s v="FP Labor - Remote Services Ctr"/>
    <s v="Labor"/>
    <s v="CO-C"/>
    <d v="2026-01-23T00:00:00"/>
    <x v="3"/>
    <x v="33"/>
    <s v="Employee"/>
    <s v="6"/>
    <s v="ORCL IN OSSI"/>
    <s v="504526 - 96V:GSC-DB &amp; Options"/>
    <s v="09B1"/>
    <s v="Y"/>
    <s v="Y"/>
    <s v="Unrecognized"/>
    <n v="8"/>
    <s v="AED"/>
    <n v="112.6"/>
    <n v="754.44"/>
    <n v="900.8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19"/>
    <s v="3029631795026911"/>
    <s v="1.04.00"/>
    <s v="FP Labor - Remote Services Ctr"/>
    <s v="Labor"/>
    <s v="CO-C"/>
    <d v="2026-01-25T00:00:00"/>
    <x v="4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876"/>
    <s v="3029626351344811"/>
    <s v="1.04.00"/>
    <s v="FP Labor - Remote Services Ctr"/>
    <s v="Labor"/>
    <s v="CO-C"/>
    <d v="2026-01-25T00:00:00"/>
    <x v="4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86"/>
    <s v="3029631825898621"/>
    <s v="1.04.00"/>
    <s v="FP Labor - Remote Services Ctr"/>
    <s v="Labor"/>
    <s v="CO-C"/>
    <d v="2026-01-25T00:00:00"/>
    <x v="4"/>
    <x v="13"/>
    <s v="Employee"/>
    <s v="8"/>
    <s v="ORCL EG"/>
    <s v="502416 - 3WP-EMEA Delivery Middleware - IaaS"/>
    <s v="008U"/>
    <s v="Y"/>
    <s v="Y"/>
    <s v="Unrecognized"/>
    <n v="8"/>
    <s v="AED"/>
    <n v="107.33"/>
    <n v="943.05"/>
    <n v="858.6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94642"/>
    <s v="3029619074125701"/>
    <s v="1.04.00"/>
    <s v="FP Labor - Remote Services Ctr"/>
    <s v="Labor"/>
    <s v="CO-C"/>
    <d v="2026-01-26T00:00:00"/>
    <x v="4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738"/>
    <s v="3029626351344831"/>
    <s v="1.04.00"/>
    <s v="FP Labor - Remote Services Ctr"/>
    <s v="Labor"/>
    <s v="CO-C"/>
    <d v="2026-01-26T00:00:00"/>
    <x v="4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61556"/>
    <s v="1523091716:1"/>
    <s v="1.04.00"/>
    <s v="FP Labor - Remote Services Ctr"/>
    <s v="Labor"/>
    <s v="CO-C"/>
    <d v="2026-01-26T00:00:00"/>
    <x v="4"/>
    <x v="18"/>
    <s v="Employee"/>
    <s v="5"/>
    <s v="ORCL IN OSSI"/>
    <s v="504526 - 96V:GSC-DB &amp; Options"/>
    <s v="09B1"/>
    <s v="Y"/>
    <s v="Y"/>
    <s v="Unrecognized"/>
    <n v="8"/>
    <s v="AED"/>
    <n v="69.819999999999993"/>
    <n v="660.13"/>
    <n v="558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394667"/>
    <s v="3029619345727691"/>
    <s v="1.04.00"/>
    <s v="FP Labor - Remote Services Ctr"/>
    <s v="Labor"/>
    <s v="CO-C"/>
    <d v="2026-01-26T00:00:00"/>
    <x v="4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30982"/>
    <s v="3029625412294471"/>
    <s v="1.04.00"/>
    <s v="FP Labor - Remote Services Ctr"/>
    <s v="Labor"/>
    <s v="CO-C"/>
    <d v="2026-01-26T00:00:00"/>
    <x v="4"/>
    <x v="13"/>
    <s v="Employee"/>
    <s v="8"/>
    <s v="ORCL EG"/>
    <s v="502416 - 3WP-EMEA Delivery Middleware - IaaS"/>
    <s v="008U"/>
    <s v="Y"/>
    <s v="Y"/>
    <s v="Unrecognized"/>
    <n v="8"/>
    <s v="AED"/>
    <n v="107.33"/>
    <n v="943.05"/>
    <n v="858.6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7055"/>
    <s v="3029625737992931"/>
    <s v="1.04.00"/>
    <s v="FP Labor - Remote Services Ctr"/>
    <s v="Labor"/>
    <s v="CO-C"/>
    <d v="2026-01-26T00:00:00"/>
    <x v="4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70823"/>
    <s v="3029619074125721"/>
    <s v="1.04.00"/>
    <s v="FP Labor - Remote Services Ctr"/>
    <s v="Labor"/>
    <s v="CO-C"/>
    <d v="2026-01-27T00:00:00"/>
    <x v="4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7513"/>
    <s v="1522769422:1"/>
    <s v="1.04.00"/>
    <s v="FP Labor - Remote Services Ctr"/>
    <s v="Labor"/>
    <s v="CO-C"/>
    <d v="2026-01-27T00:00:00"/>
    <x v="4"/>
    <x v="15"/>
    <s v="Employee"/>
    <s v="6"/>
    <s v="ORCL IN OSSI"/>
    <s v="504526 - 96V:GSC-DB &amp; Options"/>
    <s v="09B2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5027"/>
    <s v="1522916694:1"/>
    <s v="1.04.00"/>
    <s v="FP Labor - Remote Services Ctr"/>
    <s v="Labor"/>
    <s v="CO-C"/>
    <d v="2026-01-27T00:00:00"/>
    <x v="4"/>
    <x v="27"/>
    <s v="Employee"/>
    <s v="6"/>
    <s v="ORCL IN OSSI"/>
    <s v="504526 - 96V:GSC-DB &amp; Options"/>
    <s v="09B4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7789"/>
    <s v="1522701351:1"/>
    <s v="1.04.00"/>
    <s v="FP Labor - Remote Services Ctr"/>
    <s v="Labor"/>
    <s v="CO-C"/>
    <d v="2026-01-27T00:00:00"/>
    <x v="4"/>
    <x v="16"/>
    <s v="Employee"/>
    <s v="5"/>
    <s v="ORCL IN OSSI"/>
    <s v="504526 - 96V:GSC-DB &amp; Options"/>
    <s v="09B1"/>
    <s v="Y"/>
    <s v="Y"/>
    <s v="Unrecognized"/>
    <n v="8"/>
    <s v="AED"/>
    <n v="69.819999999999993"/>
    <n v="660.13"/>
    <n v="558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34204"/>
    <s v="1522817809:1"/>
    <s v="1.04.00"/>
    <s v="FP Labor - Remote Services Ctr"/>
    <s v="Labor"/>
    <s v="CO-C"/>
    <d v="2026-01-27T00:00:00"/>
    <x v="4"/>
    <x v="17"/>
    <s v="Employee"/>
    <s v="5"/>
    <s v="ORCL IN OSSI"/>
    <s v="504526 - 96V:GSC-DB &amp; Options"/>
    <s v="09B3"/>
    <s v="Y"/>
    <s v="Y"/>
    <s v="Unrecognized"/>
    <n v="8"/>
    <s v="AED"/>
    <n v="69.819999999999993"/>
    <n v="660.13"/>
    <n v="558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6190"/>
    <s v="1523091718:1"/>
    <s v="1.04.00"/>
    <s v="FP Labor - Remote Services Ctr"/>
    <s v="Labor"/>
    <s v="CO-C"/>
    <d v="2026-01-27T00:00:00"/>
    <x v="4"/>
    <x v="18"/>
    <s v="Employee"/>
    <s v="5"/>
    <s v="ORCL IN OSSI"/>
    <s v="504526 - 96V:GSC-DB &amp; Options"/>
    <s v="09B1"/>
    <s v="Y"/>
    <s v="Y"/>
    <s v="Unrecognized"/>
    <n v="8"/>
    <s v="AED"/>
    <n v="69.819999999999993"/>
    <n v="660.13"/>
    <n v="558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7359"/>
    <s v="1522743259:1"/>
    <s v="1.04.00"/>
    <s v="FP Labor - Remote Services Ctr"/>
    <s v="Labor"/>
    <s v="CO-C"/>
    <d v="2026-01-27T00:00:00"/>
    <x v="4"/>
    <x v="19"/>
    <s v="Employee"/>
    <s v="4"/>
    <s v="ORCL IN OSSI"/>
    <s v="504526 - 96V:GSC-DB &amp; Options"/>
    <s v="09B4"/>
    <s v="Y"/>
    <s v="Y"/>
    <s v="Unrecognized"/>
    <n v="8"/>
    <s v="AED"/>
    <n v="69.819999999999993"/>
    <n v="542.25"/>
    <n v="558.57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7767"/>
    <s v="1523093884:2"/>
    <s v="1.04.00"/>
    <s v="FP Labor - Remote Services Ctr"/>
    <s v="Labor"/>
    <s v="CO-C"/>
    <d v="2026-01-27T00:00:00"/>
    <x v="4"/>
    <x v="28"/>
    <s v="Employee"/>
    <s v="6"/>
    <s v="ORCL IN OSSI"/>
    <s v="504526 - 96V:GSC-DB &amp; Options"/>
    <s v="09B4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6975"/>
    <s v="1523119601:1"/>
    <s v="1.04.00"/>
    <s v="FP Labor - Remote Services Ctr"/>
    <s v="Labor"/>
    <s v="CO-C"/>
    <d v="2026-01-27T00:00:00"/>
    <x v="4"/>
    <x v="20"/>
    <s v="Employee"/>
    <s v="4"/>
    <s v="ORCL IN OSSI"/>
    <s v="504506 - 94V:GSC-eStudio"/>
    <s v="09B4"/>
    <s v="Y"/>
    <s v="Y"/>
    <s v="Unrecognized"/>
    <n v="8"/>
    <s v="AED"/>
    <n v="69.819999999999993"/>
    <n v="542.25"/>
    <n v="558.57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4879"/>
    <s v="1522785406:1"/>
    <s v="1.04.00"/>
    <s v="FP Labor - Remote Services Ctr"/>
    <s v="Labor"/>
    <s v="CO-C"/>
    <d v="2026-01-27T00:00:00"/>
    <x v="4"/>
    <x v="21"/>
    <s v="Employee"/>
    <s v="5"/>
    <s v="ORCL IN OSSI"/>
    <s v="504526 - 96V:GSC-DB &amp; Options"/>
    <s v="09B4"/>
    <s v="Y"/>
    <s v="Y"/>
    <s v="Unrecognized"/>
    <n v="8"/>
    <s v="AED"/>
    <n v="69.819999999999993"/>
    <n v="660.13"/>
    <n v="558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4509"/>
    <s v="1522780717:1"/>
    <s v="1.04.00"/>
    <s v="FP Labor - Remote Services Ctr"/>
    <s v="Labor"/>
    <s v="CO-C"/>
    <d v="2026-01-27T00:00:00"/>
    <x v="4"/>
    <x v="29"/>
    <s v="Employee"/>
    <s v="6"/>
    <s v="ORCL IN OSSI"/>
    <s v="504506 - 94V:GSC-eStudio"/>
    <s v="09B2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70781"/>
    <s v="3029619345727711"/>
    <s v="1.04.00"/>
    <s v="FP Labor - Remote Services Ctr"/>
    <s v="Labor"/>
    <s v="CO-C"/>
    <d v="2026-01-27T00:00:00"/>
    <x v="4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30981"/>
    <s v="3029625412294491"/>
    <s v="1.04.00"/>
    <s v="FP Labor - Remote Services Ctr"/>
    <s v="Labor"/>
    <s v="CO-C"/>
    <d v="2026-01-27T00:00:00"/>
    <x v="4"/>
    <x v="13"/>
    <s v="Employee"/>
    <s v="8"/>
    <s v="ORCL EG"/>
    <s v="502416 - 3WP-EMEA Delivery Middleware - IaaS"/>
    <s v="008U"/>
    <s v="Y"/>
    <s v="Y"/>
    <s v="Unrecognized"/>
    <n v="8"/>
    <s v="AED"/>
    <n v="107.33"/>
    <n v="943.05"/>
    <n v="858.6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6623"/>
    <s v="1523115140:1"/>
    <s v="1.04.00"/>
    <s v="FP Labor - Remote Services Ctr"/>
    <s v="Labor"/>
    <s v="CO-C"/>
    <d v="2026-01-27T00:00:00"/>
    <x v="4"/>
    <x v="22"/>
    <s v="Employee"/>
    <s v="6"/>
    <s v="ORCL IN OSSI"/>
    <s v="504526 - 96V:GSC-DB &amp; Options"/>
    <s v="09B2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7033"/>
    <s v="3029625737992951"/>
    <s v="1.04.00"/>
    <s v="FP Labor - Remote Services Ctr"/>
    <s v="Labor"/>
    <s v="CO-C"/>
    <d v="2026-01-27T00:00:00"/>
    <x v="4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7281"/>
    <s v="1523366680:1"/>
    <s v="1.04.00"/>
    <s v="FP Labor - Remote Services Ctr"/>
    <s v="Labor"/>
    <s v="CO-C"/>
    <d v="2026-01-27T00:00:00"/>
    <x v="4"/>
    <x v="23"/>
    <s v="Employee"/>
    <s v="5"/>
    <s v="ORCL IN OSSI"/>
    <s v="504526 - 96V:GSC-DB &amp; Options"/>
    <s v="09B1"/>
    <s v="Y"/>
    <s v="Y"/>
    <s v="Unrecognized"/>
    <n v="8"/>
    <s v="AED"/>
    <n v="69.819999999999993"/>
    <n v="660.13"/>
    <n v="558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34188"/>
    <s v="1522778185:4"/>
    <s v="1.04.00"/>
    <s v="FP Labor - Remote Services Ctr"/>
    <s v="Labor"/>
    <s v="CO-C"/>
    <d v="2026-01-27T00:00:00"/>
    <x v="4"/>
    <x v="31"/>
    <s v="Employee"/>
    <s v="6"/>
    <s v="ORCL IN OSSI"/>
    <s v="504506 - 94V:GSC-eStudio"/>
    <s v="09B2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2199"/>
    <s v="3029619017912531"/>
    <s v="1.04.00"/>
    <s v="FP Labor - Remote Services Ctr"/>
    <s v="Labor"/>
    <s v="CO-C"/>
    <d v="2026-01-27T00:00:00"/>
    <x v="4"/>
    <x v="24"/>
    <s v="Billable Contractor"/>
    <m/>
    <s v="ORCL IN OSSI"/>
    <s v="504526 - 96V:GSC-DB &amp; Options"/>
    <s v="009B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67910"/>
    <s v="1522965261:1"/>
    <s v="1.04.00"/>
    <s v="FP Labor - Remote Services Ctr"/>
    <s v="Labor"/>
    <s v="CO-C"/>
    <d v="2026-01-27T00:00:00"/>
    <x v="4"/>
    <x v="25"/>
    <s v="Employee"/>
    <s v="7"/>
    <s v="ORCL IN OSSI"/>
    <s v="504506 - 94V:GSC-eStudio"/>
    <s v="009B"/>
    <s v="Y"/>
    <s v="Y"/>
    <s v="Unrecognized"/>
    <n v="8"/>
    <s v="AED"/>
    <n v="112.19"/>
    <n v="813.38"/>
    <n v="897.5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09016"/>
    <s v="1525103768:2"/>
    <s v="1.04.00"/>
    <s v="FP Labor - Remote Services Ctr"/>
    <s v="Labor"/>
    <s v="CO-C"/>
    <d v="2026-01-27T00:00:00"/>
    <x v="4"/>
    <x v="32"/>
    <s v="Employee"/>
    <s v="5"/>
    <s v="ORCL IN OSSI"/>
    <s v="504546 - 98V:GSC-PaaS"/>
    <s v="09B2"/>
    <s v="Y"/>
    <s v="Y"/>
    <s v="Unrecognized"/>
    <n v="8"/>
    <s v="AED"/>
    <n v="69.819999999999993"/>
    <n v="660.13"/>
    <n v="558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34215"/>
    <s v="1522871125:1"/>
    <s v="1.04.00"/>
    <s v="FP Labor - Remote Services Ctr"/>
    <s v="Labor"/>
    <s v="CO-C"/>
    <d v="2026-01-27T00:00:00"/>
    <x v="4"/>
    <x v="33"/>
    <s v="Employee"/>
    <s v="6"/>
    <s v="ORCL IN OSSI"/>
    <s v="504526 - 96V:GSC-DB &amp; Options"/>
    <s v="09B1"/>
    <s v="Y"/>
    <s v="Y"/>
    <s v="Unrecognized"/>
    <n v="8"/>
    <s v="AED"/>
    <n v="112.19"/>
    <n v="754.44"/>
    <n v="897.5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18"/>
    <s v="3029631795026971"/>
    <s v="1.04.00"/>
    <s v="FP Labor - Remote Services Ctr"/>
    <s v="Labor"/>
    <s v="CO-C"/>
    <d v="2026-01-28T00:00:00"/>
    <x v="4"/>
    <x v="26"/>
    <s v="Billable Contractor"/>
    <m/>
    <s v="ORCL EG"/>
    <s v="509485 - 73M: EMEA Business Analytics - PaaS"/>
    <s v="008U"/>
    <s v="Y"/>
    <s v="Y"/>
    <s v="Unrecognized"/>
    <n v="8"/>
    <s v="AED"/>
    <n v="68.86"/>
    <n v="754.44"/>
    <n v="550.8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08794"/>
    <s v="1522769421:1"/>
    <s v="1.04.00"/>
    <s v="FP Labor - Remote Services Ctr"/>
    <s v="Labor"/>
    <s v="CO-C"/>
    <d v="2026-01-28T00:00:00"/>
    <x v="4"/>
    <x v="15"/>
    <s v="Employee"/>
    <s v="6"/>
    <s v="ORCL IN OSSI"/>
    <s v="504526 - 96V:GSC-DB &amp; Options"/>
    <s v="09B2"/>
    <s v="Y"/>
    <s v="Y"/>
    <s v="Unrecognized"/>
    <n v="8"/>
    <s v="AED"/>
    <n v="112.48"/>
    <n v="754.44"/>
    <n v="899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0276"/>
    <s v="1522916695:1"/>
    <s v="1.04.00"/>
    <s v="FP Labor - Remote Services Ctr"/>
    <s v="Labor"/>
    <s v="CO-C"/>
    <d v="2026-01-28T00:00:00"/>
    <x v="4"/>
    <x v="27"/>
    <s v="Employee"/>
    <s v="6"/>
    <s v="ORCL IN OSSI"/>
    <s v="504526 - 96V:GSC-DB &amp; Options"/>
    <s v="09B4"/>
    <s v="Y"/>
    <s v="Y"/>
    <s v="Unrecognized"/>
    <n v="8"/>
    <s v="AED"/>
    <n v="112.48"/>
    <n v="754.44"/>
    <n v="899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196"/>
    <s v="1522701352:1"/>
    <s v="1.04.00"/>
    <s v="FP Labor - Remote Services Ctr"/>
    <s v="Labor"/>
    <s v="CO-C"/>
    <d v="2026-01-28T00:00:00"/>
    <x v="4"/>
    <x v="16"/>
    <s v="Employee"/>
    <s v="5"/>
    <s v="ORCL IN OSSI"/>
    <s v="504526 - 96V:GSC-DB &amp; Options"/>
    <s v="09B1"/>
    <s v="Y"/>
    <s v="Y"/>
    <s v="Unrecognized"/>
    <n v="8"/>
    <s v="AED"/>
    <n v="70"/>
    <n v="660.13"/>
    <n v="560.0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163"/>
    <s v="1522817810:1"/>
    <s v="1.04.00"/>
    <s v="FP Labor - Remote Services Ctr"/>
    <s v="Labor"/>
    <s v="CO-C"/>
    <d v="2026-01-28T00:00:00"/>
    <x v="4"/>
    <x v="17"/>
    <s v="Employee"/>
    <s v="5"/>
    <s v="ORCL IN OSSI"/>
    <s v="504526 - 96V:GSC-DB &amp; Options"/>
    <s v="09B3"/>
    <s v="Y"/>
    <s v="Y"/>
    <s v="Unrecognized"/>
    <n v="8"/>
    <s v="AED"/>
    <n v="70"/>
    <n v="660.13"/>
    <n v="560.0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09932"/>
    <s v="1523091720:1"/>
    <s v="1.04.00"/>
    <s v="FP Labor - Remote Services Ctr"/>
    <s v="Labor"/>
    <s v="CO-C"/>
    <d v="2026-01-28T00:00:00"/>
    <x v="4"/>
    <x v="18"/>
    <s v="Employee"/>
    <s v="5"/>
    <s v="ORCL IN OSSI"/>
    <s v="504526 - 96V:GSC-DB &amp; Options"/>
    <s v="09B1"/>
    <s v="Y"/>
    <s v="Y"/>
    <s v="Unrecognized"/>
    <n v="8"/>
    <s v="AED"/>
    <n v="70"/>
    <n v="660.13"/>
    <n v="560.0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735"/>
    <s v="1522743258:1"/>
    <s v="1.04.00"/>
    <s v="FP Labor - Remote Services Ctr"/>
    <s v="Labor"/>
    <s v="CO-C"/>
    <d v="2026-01-28T00:00:00"/>
    <x v="4"/>
    <x v="19"/>
    <s v="Employee"/>
    <s v="4"/>
    <s v="ORCL IN OSSI"/>
    <s v="504526 - 96V:GSC-DB &amp; Options"/>
    <s v="09B4"/>
    <s v="Y"/>
    <s v="Y"/>
    <s v="Unrecognized"/>
    <n v="8"/>
    <s v="AED"/>
    <n v="70"/>
    <n v="542.25"/>
    <n v="560.0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09959"/>
    <s v="1523093885:2"/>
    <s v="1.04.00"/>
    <s v="FP Labor - Remote Services Ctr"/>
    <s v="Labor"/>
    <s v="CO-C"/>
    <d v="2026-01-28T00:00:00"/>
    <x v="4"/>
    <x v="28"/>
    <s v="Employee"/>
    <s v="6"/>
    <s v="ORCL IN OSSI"/>
    <s v="504526 - 96V:GSC-DB &amp; Options"/>
    <s v="09B4"/>
    <s v="Y"/>
    <s v="Y"/>
    <s v="Unrecognized"/>
    <n v="8"/>
    <s v="AED"/>
    <n v="112.48"/>
    <n v="754.44"/>
    <n v="899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670"/>
    <s v="1523119602:1"/>
    <s v="1.04.00"/>
    <s v="FP Labor - Remote Services Ctr"/>
    <s v="Labor"/>
    <s v="CO-C"/>
    <d v="2026-01-28T00:00:00"/>
    <x v="4"/>
    <x v="20"/>
    <s v="Employee"/>
    <s v="4"/>
    <s v="ORCL IN OSSI"/>
    <s v="504506 - 94V:GSC-eStudio"/>
    <s v="09B4"/>
    <s v="Y"/>
    <s v="Y"/>
    <s v="Unrecognized"/>
    <n v="8"/>
    <s v="AED"/>
    <n v="70"/>
    <n v="542.25"/>
    <n v="560.0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314"/>
    <s v="1522785407:1"/>
    <s v="1.04.00"/>
    <s v="FP Labor - Remote Services Ctr"/>
    <s v="Labor"/>
    <s v="CO-C"/>
    <d v="2026-01-28T00:00:00"/>
    <x v="4"/>
    <x v="21"/>
    <s v="Employee"/>
    <s v="5"/>
    <s v="ORCL IN OSSI"/>
    <s v="504526 - 96V:GSC-DB &amp; Options"/>
    <s v="09B4"/>
    <s v="Y"/>
    <s v="Y"/>
    <s v="Unrecognized"/>
    <n v="8"/>
    <s v="AED"/>
    <n v="70"/>
    <n v="660.13"/>
    <n v="560.0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537"/>
    <s v="1522780716:1"/>
    <s v="1.04.00"/>
    <s v="FP Labor - Remote Services Ctr"/>
    <s v="Labor"/>
    <s v="CO-C"/>
    <d v="2026-01-28T00:00:00"/>
    <x v="4"/>
    <x v="29"/>
    <s v="Employee"/>
    <s v="6"/>
    <s v="ORCL IN OSSI"/>
    <s v="504506 - 94V:GSC-eStudio"/>
    <s v="09B2"/>
    <s v="Y"/>
    <s v="Y"/>
    <s v="Unrecognized"/>
    <n v="8"/>
    <s v="AED"/>
    <n v="112.48"/>
    <n v="754.44"/>
    <n v="899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27125"/>
    <s v="3029619345727731"/>
    <s v="1.04.00"/>
    <s v="FP Labor - Remote Services Ctr"/>
    <s v="Labor"/>
    <s v="CO-C"/>
    <d v="2026-01-28T00:00:00"/>
    <x v="4"/>
    <x v="12"/>
    <s v="Billable Contractor"/>
    <m/>
    <s v="ORCL EG"/>
    <s v="509335 - U3K-EMEA Tech Delivery - PaaS"/>
    <s v="008U"/>
    <s v="Y"/>
    <s v="Y"/>
    <s v="Unrecognized"/>
    <n v="8"/>
    <s v="AED"/>
    <n v="68.86"/>
    <n v="754.44"/>
    <n v="550.8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30980"/>
    <s v="3029625412294511"/>
    <s v="1.04.00"/>
    <s v="FP Labor - Remote Services Ctr"/>
    <s v="Labor"/>
    <s v="CO-C"/>
    <d v="2026-01-28T00:00:00"/>
    <x v="4"/>
    <x v="13"/>
    <s v="Employee"/>
    <s v="8"/>
    <s v="ORCL EG"/>
    <s v="502416 - 3WP-EMEA Delivery Middleware - IaaS"/>
    <s v="008U"/>
    <s v="Y"/>
    <s v="Y"/>
    <s v="Unrecognized"/>
    <n v="8"/>
    <s v="AED"/>
    <n v="107.58"/>
    <n v="943.05"/>
    <n v="860.65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933"/>
    <s v="1523115141:1"/>
    <s v="1.04.00"/>
    <s v="FP Labor - Remote Services Ctr"/>
    <s v="Labor"/>
    <s v="CO-C"/>
    <d v="2026-01-28T00:00:00"/>
    <x v="4"/>
    <x v="22"/>
    <s v="Employee"/>
    <s v="6"/>
    <s v="ORCL IN OSSI"/>
    <s v="504526 - 96V:GSC-DB &amp; Options"/>
    <s v="09B2"/>
    <s v="Y"/>
    <s v="Y"/>
    <s v="Unrecognized"/>
    <n v="8"/>
    <s v="AED"/>
    <n v="112.48"/>
    <n v="754.44"/>
    <n v="899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940"/>
    <s v="3029625737992971"/>
    <s v="1.04.00"/>
    <s v="FP Labor - Remote Services Ctr"/>
    <s v="Labor"/>
    <s v="CO-C"/>
    <d v="2026-01-28T00:00:00"/>
    <x v="4"/>
    <x v="30"/>
    <s v="Billable Contractor"/>
    <m/>
    <s v="ORCL EG"/>
    <s v="509335 - U3K-EMEA Tech Delivery - PaaS"/>
    <s v="008U"/>
    <s v="Y"/>
    <s v="Y"/>
    <s v="Unrecognized"/>
    <n v="8"/>
    <s v="AED"/>
    <n v="68.86"/>
    <n v="754.44"/>
    <n v="550.8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09628"/>
    <s v="1523366681:1"/>
    <s v="1.04.00"/>
    <s v="FP Labor - Remote Services Ctr"/>
    <s v="Labor"/>
    <s v="CO-C"/>
    <d v="2026-01-28T00:00:00"/>
    <x v="4"/>
    <x v="23"/>
    <s v="Employee"/>
    <s v="5"/>
    <s v="ORCL IN OSSI"/>
    <s v="504526 - 96V:GSC-DB &amp; Options"/>
    <s v="09B1"/>
    <s v="Y"/>
    <s v="Y"/>
    <s v="Unrecognized"/>
    <n v="8"/>
    <s v="AED"/>
    <n v="70"/>
    <n v="660.13"/>
    <n v="560.0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11478"/>
    <s v="1522778188:4"/>
    <s v="1.04.00"/>
    <s v="FP Labor - Remote Services Ctr"/>
    <s v="Labor"/>
    <s v="CO-C"/>
    <d v="2026-01-28T00:00:00"/>
    <x v="4"/>
    <x v="31"/>
    <s v="Employee"/>
    <s v="6"/>
    <s v="ORCL IN OSSI"/>
    <s v="504506 - 94V:GSC-eStudio"/>
    <s v="09B2"/>
    <s v="Y"/>
    <s v="Y"/>
    <s v="Unrecognized"/>
    <n v="8"/>
    <s v="AED"/>
    <n v="112.48"/>
    <n v="754.44"/>
    <n v="899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452121"/>
    <s v="3029619017912551"/>
    <s v="1.04.00"/>
    <s v="FP Labor - Remote Services Ctr"/>
    <s v="Labor"/>
    <s v="CO-C"/>
    <d v="2026-01-28T00:00:00"/>
    <x v="4"/>
    <x v="24"/>
    <s v="Billable Contractor"/>
    <m/>
    <s v="ORCL IN OSSI"/>
    <s v="504526 - 96V:GSC-DB &amp; Options"/>
    <s v="009B"/>
    <s v="Y"/>
    <s v="Y"/>
    <s v="Unrecognized"/>
    <n v="8"/>
    <s v="AED"/>
    <n v="112.48"/>
    <m/>
    <n v="899.85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08169"/>
    <s v="1525103767:2"/>
    <s v="1.04.00"/>
    <s v="FP Labor - Remote Services Ctr"/>
    <s v="Labor"/>
    <s v="CO-C"/>
    <d v="2026-01-28T00:00:00"/>
    <x v="4"/>
    <x v="32"/>
    <s v="Employee"/>
    <s v="5"/>
    <s v="ORCL IN OSSI"/>
    <s v="504546 - 98V:GSC-PaaS"/>
    <s v="09B2"/>
    <s v="Y"/>
    <s v="Y"/>
    <s v="Unrecognized"/>
    <n v="8"/>
    <s v="AED"/>
    <n v="70"/>
    <n v="660.13"/>
    <n v="560.0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09984"/>
    <s v="1522871126:1"/>
    <s v="1.04.00"/>
    <s v="FP Labor - Remote Services Ctr"/>
    <s v="Labor"/>
    <s v="CO-C"/>
    <d v="2026-01-28T00:00:00"/>
    <x v="4"/>
    <x v="33"/>
    <s v="Employee"/>
    <s v="6"/>
    <s v="ORCL IN OSSI"/>
    <s v="504526 - 96V:GSC-DB &amp; Options"/>
    <s v="09B1"/>
    <s v="Y"/>
    <s v="Y"/>
    <s v="Unrecognized"/>
    <n v="8"/>
    <s v="AED"/>
    <n v="112.48"/>
    <n v="754.44"/>
    <n v="899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16"/>
    <s v="3029631795026991"/>
    <s v="1.04.00"/>
    <s v="FP Labor - Remote Services Ctr"/>
    <s v="Labor"/>
    <s v="CO-C"/>
    <d v="2026-01-29T00:00:00"/>
    <x v="4"/>
    <x v="26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90328"/>
    <s v="1522769420:1"/>
    <s v="1.04.00"/>
    <s v="FP Labor - Remote Services Ctr"/>
    <s v="Labor"/>
    <s v="CO-C"/>
    <d v="2026-01-29T00:00:00"/>
    <x v="4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0348"/>
    <s v="1522916696:1"/>
    <s v="1.04.00"/>
    <s v="FP Labor - Remote Services Ctr"/>
    <s v="Labor"/>
    <s v="CO-C"/>
    <d v="2026-01-29T00:00:00"/>
    <x v="4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3604"/>
    <s v="1522701353:1"/>
    <s v="1.04.00"/>
    <s v="FP Labor - Remote Services Ctr"/>
    <s v="Labor"/>
    <s v="CO-C"/>
    <d v="2026-01-29T00:00:00"/>
    <x v="4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89825"/>
    <s v="1522817811:1"/>
    <s v="1.04.00"/>
    <s v="FP Labor - Remote Services Ctr"/>
    <s v="Labor"/>
    <s v="CO-C"/>
    <d v="2026-01-29T00:00:00"/>
    <x v="4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1586"/>
    <s v="1522743257:1"/>
    <s v="1.04.00"/>
    <s v="FP Labor - Remote Services Ctr"/>
    <s v="Labor"/>
    <s v="CO-C"/>
    <d v="2026-01-29T00:00:00"/>
    <x v="4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5301"/>
    <s v="1523093886:2"/>
    <s v="1.04.00"/>
    <s v="FP Labor - Remote Services Ctr"/>
    <s v="Labor"/>
    <s v="CO-C"/>
    <d v="2026-01-29T00:00:00"/>
    <x v="4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89529"/>
    <s v="1523119603:1"/>
    <s v="1.04.00"/>
    <s v="FP Labor - Remote Services Ctr"/>
    <s v="Labor"/>
    <s v="CO-C"/>
    <d v="2026-01-29T00:00:00"/>
    <x v="4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1936"/>
    <s v="1522785408:1"/>
    <s v="1.04.00"/>
    <s v="FP Labor - Remote Services Ctr"/>
    <s v="Labor"/>
    <s v="CO-C"/>
    <d v="2026-01-29T00:00:00"/>
    <x v="4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94106"/>
    <s v="1522780715:1"/>
    <s v="1.04.00"/>
    <s v="FP Labor - Remote Services Ctr"/>
    <s v="Labor"/>
    <s v="CO-C"/>
    <d v="2026-01-29T00:00:00"/>
    <x v="4"/>
    <x v="29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68345"/>
    <s v="3029619345727751"/>
    <s v="1.04.00"/>
    <s v="FP Labor - Remote Services Ctr"/>
    <s v="Labor"/>
    <s v="CO-C"/>
    <d v="2026-01-29T00:00:00"/>
    <x v="4"/>
    <x v="12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4010"/>
    <s v="1523115142:1"/>
    <s v="1.04.00"/>
    <s v="FP Labor - Remote Services Ctr"/>
    <s v="Labor"/>
    <s v="CO-C"/>
    <d v="2026-01-29T00:00:00"/>
    <x v="4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939"/>
    <s v="3029625737992991"/>
    <s v="1.04.00"/>
    <s v="FP Labor - Remote Services Ctr"/>
    <s v="Labor"/>
    <s v="CO-C"/>
    <d v="2026-01-29T00:00:00"/>
    <x v="4"/>
    <x v="30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93145"/>
    <s v="1523366682:1"/>
    <s v="1.04.00"/>
    <s v="FP Labor - Remote Services Ctr"/>
    <s v="Labor"/>
    <s v="CO-C"/>
    <d v="2026-01-29T00:00:00"/>
    <x v="4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90160"/>
    <s v="1522778186:4"/>
    <s v="1.04.00"/>
    <s v="FP Labor - Remote Services Ctr"/>
    <s v="Labor"/>
    <s v="CO-C"/>
    <d v="2026-01-29T00:00:00"/>
    <x v="4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63464"/>
    <s v="3029619017912571"/>
    <s v="1.04.00"/>
    <s v="FP Labor - Remote Services Ctr"/>
    <s v="Labor"/>
    <s v="CO-C"/>
    <d v="2026-01-29T00:00:00"/>
    <x v="4"/>
    <x v="24"/>
    <s v="Billable Contractor"/>
    <m/>
    <s v="ORCL IN OSSI"/>
    <s v="504526 - 96V:GSC-DB &amp; Options"/>
    <s v="009B"/>
    <s v="Y"/>
    <s v="Y"/>
    <s v="Unrecognized"/>
    <n v="8"/>
    <s v="AED"/>
    <n v="112.53"/>
    <m/>
    <n v="900.2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0329"/>
    <s v="1522965263:1"/>
    <s v="1.04.00"/>
    <s v="FP Labor - Remote Services Ctr"/>
    <s v="Labor"/>
    <s v="CO-C"/>
    <d v="2026-01-29T00:00:00"/>
    <x v="4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71649"/>
    <s v="1525103766:2"/>
    <s v="1.04.00"/>
    <s v="FP Labor - Remote Services Ctr"/>
    <s v="Labor"/>
    <s v="CO-C"/>
    <d v="2026-01-29T00:00:00"/>
    <x v="4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590686"/>
    <s v="1522871127:1"/>
    <s v="1.04.00"/>
    <s v="FP Labor - Remote Services Ctr"/>
    <s v="Labor"/>
    <s v="CO-C"/>
    <d v="2026-01-29T00:00:00"/>
    <x v="4"/>
    <x v="33"/>
    <s v="Employee"/>
    <s v="6"/>
    <s v="ORCL IN OSSI"/>
    <s v="504526 - 96V:GSC-DB &amp; Options"/>
    <s v="09B1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0387"/>
    <s v="1522769419:1"/>
    <s v="1.04.00"/>
    <s v="FP Labor - Remote Services Ctr"/>
    <s v="Labor"/>
    <s v="CO-C"/>
    <d v="2026-01-30T00:00:00"/>
    <x v="4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3106"/>
    <s v="1522916697:1"/>
    <s v="1.04.00"/>
    <s v="FP Labor - Remote Services Ctr"/>
    <s v="Labor"/>
    <s v="CO-C"/>
    <d v="2026-01-30T00:00:00"/>
    <x v="4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3006"/>
    <s v="1522701354:1"/>
    <s v="1.04.00"/>
    <s v="FP Labor - Remote Services Ctr"/>
    <s v="Labor"/>
    <s v="CO-C"/>
    <d v="2026-01-30T00:00:00"/>
    <x v="4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0369"/>
    <s v="1522817812:1"/>
    <s v="1.04.00"/>
    <s v="FP Labor - Remote Services Ctr"/>
    <s v="Labor"/>
    <s v="CO-C"/>
    <d v="2026-01-30T00:00:00"/>
    <x v="4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05717"/>
    <s v="1523091714:1"/>
    <s v="1.04.00"/>
    <s v="FP Labor - Remote Services Ctr"/>
    <s v="Labor"/>
    <s v="CO-C"/>
    <d v="2026-01-30T00:00:00"/>
    <x v="4"/>
    <x v="18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1694"/>
    <s v="1522743256:1"/>
    <s v="1.04.00"/>
    <s v="FP Labor - Remote Services Ctr"/>
    <s v="Labor"/>
    <s v="CO-C"/>
    <d v="2026-01-30T00:00:00"/>
    <x v="4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05589"/>
    <s v="1523093887:2"/>
    <s v="1.04.00"/>
    <s v="FP Labor - Remote Services Ctr"/>
    <s v="Labor"/>
    <s v="CO-C"/>
    <d v="2026-01-30T00:00:00"/>
    <x v="4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05264"/>
    <s v="1523119604:1"/>
    <s v="1.04.00"/>
    <s v="FP Labor - Remote Services Ctr"/>
    <s v="Labor"/>
    <s v="CO-C"/>
    <d v="2026-01-30T00:00:00"/>
    <x v="4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2588"/>
    <s v="1522785409:1"/>
    <s v="1.04.00"/>
    <s v="FP Labor - Remote Services Ctr"/>
    <s v="Labor"/>
    <s v="CO-C"/>
    <d v="2026-01-30T00:00:00"/>
    <x v="4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3023"/>
    <s v="1522780714:1"/>
    <s v="1.04.00"/>
    <s v="FP Labor - Remote Services Ctr"/>
    <s v="Labor"/>
    <s v="CO-C"/>
    <d v="2026-01-30T00:00:00"/>
    <x v="4"/>
    <x v="29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6868"/>
    <s v="3029619345727771"/>
    <s v="1.04.00"/>
    <s v="FP Labor - Remote Services Ctr"/>
    <s v="Labor"/>
    <s v="CO-C"/>
    <d v="2026-01-30T00:00:00"/>
    <x v="4"/>
    <x v="12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85"/>
    <s v="3029631825898721"/>
    <s v="1.04.00"/>
    <s v="FP Labor - Remote Services Ctr"/>
    <s v="Labor"/>
    <s v="CO-C"/>
    <d v="2026-01-30T00:00:00"/>
    <x v="4"/>
    <x v="13"/>
    <s v="Employee"/>
    <s v="8"/>
    <s v="ORCL EG"/>
    <s v="502416 - 3WP-EMEA Delivery Middleware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10205"/>
    <s v="1523115143:1"/>
    <s v="1.04.00"/>
    <s v="FP Labor - Remote Services Ctr"/>
    <s v="Labor"/>
    <s v="CO-C"/>
    <d v="2026-01-30T00:00:00"/>
    <x v="4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08950"/>
    <s v="1523366683:1"/>
    <s v="1.04.00"/>
    <s v="FP Labor - Remote Services Ctr"/>
    <s v="Labor"/>
    <s v="CO-C"/>
    <d v="2026-01-30T00:00:00"/>
    <x v="4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06085"/>
    <s v="1522778187:4"/>
    <s v="1.04.00"/>
    <s v="FP Labor - Remote Services Ctr"/>
    <s v="Labor"/>
    <s v="CO-C"/>
    <d v="2026-01-30T00:00:00"/>
    <x v="4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684420"/>
    <s v="3029619017912591"/>
    <s v="1.04.00"/>
    <s v="FP Labor - Remote Services Ctr"/>
    <s v="Labor"/>
    <s v="CO-C"/>
    <d v="2026-01-30T00:00:00"/>
    <x v="4"/>
    <x v="24"/>
    <s v="Billable Contractor"/>
    <m/>
    <s v="ORCL IN OSSI"/>
    <s v="504526 - 96V:GSC-DB &amp; Options"/>
    <s v="009B"/>
    <s v="Y"/>
    <s v="Y"/>
    <s v="Unrecognized"/>
    <n v="8"/>
    <s v="AED"/>
    <n v="112.53"/>
    <m/>
    <n v="900.2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06972"/>
    <s v="1522965264:1"/>
    <s v="1.04.00"/>
    <s v="FP Labor - Remote Services Ctr"/>
    <s v="Labor"/>
    <s v="CO-C"/>
    <d v="2026-01-30T00:00:00"/>
    <x v="4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04691"/>
    <s v="1525103765:2"/>
    <s v="1.04.00"/>
    <s v="FP Labor - Remote Services Ctr"/>
    <s v="Labor"/>
    <s v="CO-C"/>
    <d v="2026-01-30T00:00:00"/>
    <x v="4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709442"/>
    <s v="1522871128:1"/>
    <s v="1.04.00"/>
    <s v="FP Labor - Remote Services Ctr"/>
    <s v="Labor"/>
    <s v="CO-C"/>
    <d v="2026-01-30T00:00:00"/>
    <x v="4"/>
    <x v="33"/>
    <s v="Employee"/>
    <s v="6"/>
    <s v="ORCL IN OSSI"/>
    <s v="504526 - 96V:GSC-DB &amp; Options"/>
    <s v="09B1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78700"/>
    <s v="3029619075164821"/>
    <s v="1.04.00"/>
    <s v="FP Labor - Remote Services Ctr"/>
    <s v="Labor"/>
    <s v="CO-C"/>
    <d v="2026-02-01T00:00:00"/>
    <x v="5"/>
    <x v="26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075"/>
    <s v="3029631795244821"/>
    <s v="1.04.00"/>
    <s v="FP Labor - Remote Services Ctr"/>
    <s v="Labor"/>
    <s v="CO-C"/>
    <d v="2026-02-02T00:00:00"/>
    <x v="5"/>
    <x v="26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7066"/>
    <s v="3029619310260851"/>
    <s v="1.04.00"/>
    <s v="FP Labor - Remote Services Ctr"/>
    <s v="Labor"/>
    <s v="CO-C"/>
    <d v="2026-02-02T00:00:00"/>
    <x v="5"/>
    <x v="14"/>
    <s v="Billable Contractor"/>
    <m/>
    <s v="ORCL EG"/>
    <s v="502416 - 3WP-EMEA Delivery Middleware - I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38351"/>
    <s v="1522781524:1"/>
    <s v="1.04.00"/>
    <s v="FP Labor - Remote Services Ctr"/>
    <s v="Labor"/>
    <s v="CO-C"/>
    <d v="2026-02-02T00:00:00"/>
    <x v="5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36810"/>
    <s v="1522916711:1"/>
    <s v="1.04.00"/>
    <s v="FP Labor - Remote Services Ctr"/>
    <s v="Labor"/>
    <s v="CO-C"/>
    <d v="2026-02-02T00:00:00"/>
    <x v="5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56387"/>
    <s v="1522831650:1"/>
    <s v="1.04.00"/>
    <s v="FP Labor - Remote Services Ctr"/>
    <s v="Labor"/>
    <s v="CO-C"/>
    <d v="2026-02-02T00:00:00"/>
    <x v="5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62692"/>
    <s v="1522818003:1"/>
    <s v="1.04.00"/>
    <s v="FP Labor - Remote Services Ctr"/>
    <s v="Labor"/>
    <s v="CO-C"/>
    <d v="2026-02-02T00:00:00"/>
    <x v="5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56563"/>
    <s v="1523091778:1"/>
    <s v="1.04.00"/>
    <s v="FP Labor - Remote Services Ctr"/>
    <s v="Labor"/>
    <s v="CO-C"/>
    <d v="2026-02-02T00:00:00"/>
    <x v="5"/>
    <x v="18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4156"/>
    <s v="1522743307:1"/>
    <s v="1.04.00"/>
    <s v="FP Labor - Remote Services Ctr"/>
    <s v="Labor"/>
    <s v="CO-C"/>
    <d v="2026-02-02T00:00:00"/>
    <x v="5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3966"/>
    <s v="1523094019:2"/>
    <s v="1.04.00"/>
    <s v="FP Labor - Remote Services Ctr"/>
    <s v="Labor"/>
    <s v="CO-C"/>
    <d v="2026-02-02T00:00:00"/>
    <x v="5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36750"/>
    <s v="1523119617:1"/>
    <s v="1.04.00"/>
    <s v="FP Labor - Remote Services Ctr"/>
    <s v="Labor"/>
    <s v="CO-C"/>
    <d v="2026-02-02T00:00:00"/>
    <x v="5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37058"/>
    <s v="1522785558:1"/>
    <s v="1.04.00"/>
    <s v="FP Labor - Remote Services Ctr"/>
    <s v="Labor"/>
    <s v="CO-C"/>
    <d v="2026-02-02T00:00:00"/>
    <x v="5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50068"/>
    <s v="1522781083:1"/>
    <s v="1.04.00"/>
    <s v="FP Labor - Remote Services Ctr"/>
    <s v="Labor"/>
    <s v="CO-C"/>
    <d v="2026-02-02T00:00:00"/>
    <x v="5"/>
    <x v="29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7028"/>
    <s v="3029619346350251"/>
    <s v="1.04.00"/>
    <s v="FP Labor - Remote Services Ctr"/>
    <s v="Labor"/>
    <s v="CO-C"/>
    <d v="2026-02-02T00:00:00"/>
    <x v="5"/>
    <x v="12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6839"/>
    <s v="3029625676570001"/>
    <s v="1.04.00"/>
    <s v="FP Labor - Remote Services Ctr"/>
    <s v="Labor"/>
    <s v="CO-C"/>
    <d v="2026-02-02T00:00:00"/>
    <x v="5"/>
    <x v="13"/>
    <s v="Employee"/>
    <s v="8"/>
    <s v="ORCL EG"/>
    <s v="502416 - 3WP-EMEA Delivery Middleware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8282"/>
    <s v="1523115185:1"/>
    <s v="1.04.00"/>
    <s v="FP Labor - Remote Services Ctr"/>
    <s v="Labor"/>
    <s v="CO-C"/>
    <d v="2026-02-02T00:00:00"/>
    <x v="5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6862"/>
    <s v="3029625739085411"/>
    <s v="1.04.00"/>
    <s v="FP Labor - Remote Services Ctr"/>
    <s v="Labor"/>
    <s v="CO-C"/>
    <d v="2026-02-02T00:00:00"/>
    <x v="5"/>
    <x v="30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25552"/>
    <s v="1523366696:1"/>
    <s v="1.04.00"/>
    <s v="FP Labor - Remote Services Ctr"/>
    <s v="Labor"/>
    <s v="CO-C"/>
    <d v="2026-02-02T00:00:00"/>
    <x v="5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54705"/>
    <s v="1522778483:1"/>
    <s v="1.04.00"/>
    <s v="FP Labor - Remote Services Ctr"/>
    <s v="Labor"/>
    <s v="CO-C"/>
    <d v="2026-02-02T00:00:00"/>
    <x v="5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85864"/>
    <s v="3029619016664141"/>
    <s v="1.04.00"/>
    <s v="FP Labor - Remote Services Ctr"/>
    <s v="Labor"/>
    <s v="CO-C"/>
    <d v="2026-02-02T00:00:00"/>
    <x v="5"/>
    <x v="24"/>
    <s v="Billable Contractor"/>
    <m/>
    <s v="ORCL IN OSSI"/>
    <s v="504526 - 96V:GSC-DB &amp; Options"/>
    <s v="009B"/>
    <s v="Y"/>
    <s v="Y"/>
    <s v="Unrecognized"/>
    <n v="8"/>
    <s v="AED"/>
    <n v="112.53"/>
    <m/>
    <n v="900.2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61726"/>
    <s v="1522966707:1"/>
    <s v="1.04.00"/>
    <s v="FP Labor - Remote Services Ctr"/>
    <s v="Labor"/>
    <s v="CO-C"/>
    <d v="2026-02-02T00:00:00"/>
    <x v="5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3864"/>
    <s v="1526416481:1"/>
    <s v="1.04.00"/>
    <s v="FP Labor - Remote Services Ctr"/>
    <s v="Labor"/>
    <s v="CO-C"/>
    <d v="2026-02-02T00:00:00"/>
    <x v="5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37202"/>
    <s v="1522871178:1"/>
    <s v="1.04.00"/>
    <s v="FP Labor - Remote Services Ctr"/>
    <s v="Labor"/>
    <s v="CO-C"/>
    <d v="2026-02-02T00:00:00"/>
    <x v="5"/>
    <x v="33"/>
    <s v="Employee"/>
    <s v="6"/>
    <s v="ORCL IN OSSI"/>
    <s v="504526 - 96V:GSC-DB &amp; Options"/>
    <s v="09B1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073"/>
    <s v="3029631795244841"/>
    <s v="1.04.00"/>
    <s v="FP Labor - Remote Services Ctr"/>
    <s v="Labor"/>
    <s v="CO-C"/>
    <d v="2026-02-03T00:00:00"/>
    <x v="5"/>
    <x v="26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7043"/>
    <s v="3029619310260871"/>
    <s v="1.04.00"/>
    <s v="FP Labor - Remote Services Ctr"/>
    <s v="Labor"/>
    <s v="CO-C"/>
    <d v="2026-02-03T00:00:00"/>
    <x v="5"/>
    <x v="14"/>
    <s v="Billable Contractor"/>
    <m/>
    <s v="ORCL EG"/>
    <s v="502416 - 3WP-EMEA Delivery Middleware - I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62360"/>
    <s v="1522781523:1"/>
    <s v="1.04.00"/>
    <s v="FP Labor - Remote Services Ctr"/>
    <s v="Labor"/>
    <s v="CO-C"/>
    <d v="2026-02-03T00:00:00"/>
    <x v="5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4202"/>
    <s v="1522916712:1"/>
    <s v="1.04.00"/>
    <s v="FP Labor - Remote Services Ctr"/>
    <s v="Labor"/>
    <s v="CO-C"/>
    <d v="2026-02-03T00:00:00"/>
    <x v="5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62504"/>
    <s v="1522831651:1"/>
    <s v="1.04.00"/>
    <s v="FP Labor - Remote Services Ctr"/>
    <s v="Labor"/>
    <s v="CO-C"/>
    <d v="2026-02-03T00:00:00"/>
    <x v="5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24919"/>
    <s v="1522817999:1"/>
    <s v="1.04.00"/>
    <s v="FP Labor - Remote Services Ctr"/>
    <s v="Labor"/>
    <s v="CO-C"/>
    <d v="2026-02-03T00:00:00"/>
    <x v="5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25753"/>
    <s v="1523091779:1"/>
    <s v="1.04.00"/>
    <s v="FP Labor - Remote Services Ctr"/>
    <s v="Labor"/>
    <s v="CO-C"/>
    <d v="2026-02-03T00:00:00"/>
    <x v="5"/>
    <x v="18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25259"/>
    <s v="1522743306:1"/>
    <s v="1.04.00"/>
    <s v="FP Labor - Remote Services Ctr"/>
    <s v="Labor"/>
    <s v="CO-C"/>
    <d v="2026-02-03T00:00:00"/>
    <x v="5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1126"/>
    <s v="1523094015:2"/>
    <s v="1.04.00"/>
    <s v="FP Labor - Remote Services Ctr"/>
    <s v="Labor"/>
    <s v="CO-C"/>
    <d v="2026-02-03T00:00:00"/>
    <x v="5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2409"/>
    <s v="1523119618:1"/>
    <s v="1.04.00"/>
    <s v="FP Labor - Remote Services Ctr"/>
    <s v="Labor"/>
    <s v="CO-C"/>
    <d v="2026-02-03T00:00:00"/>
    <x v="5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1592"/>
    <s v="1522785559:1"/>
    <s v="1.04.00"/>
    <s v="FP Labor - Remote Services Ctr"/>
    <s v="Labor"/>
    <s v="CO-C"/>
    <d v="2026-02-03T00:00:00"/>
    <x v="5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7027"/>
    <s v="3029619346350271"/>
    <s v="1.04.00"/>
    <s v="FP Labor - Remote Services Ctr"/>
    <s v="Labor"/>
    <s v="CO-C"/>
    <d v="2026-02-03T00:00:00"/>
    <x v="5"/>
    <x v="12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6838"/>
    <s v="3029625676570021"/>
    <s v="1.04.00"/>
    <s v="FP Labor - Remote Services Ctr"/>
    <s v="Labor"/>
    <s v="CO-C"/>
    <d v="2026-02-03T00:00:00"/>
    <x v="5"/>
    <x v="13"/>
    <s v="Employee"/>
    <s v="8"/>
    <s v="ORCL EG"/>
    <s v="502416 - 3WP-EMEA Delivery Middleware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37851"/>
    <s v="1523115186:1"/>
    <s v="1.04.00"/>
    <s v="FP Labor - Remote Services Ctr"/>
    <s v="Labor"/>
    <s v="CO-C"/>
    <d v="2026-02-03T00:00:00"/>
    <x v="5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56853"/>
    <s v="3029625739085431"/>
    <s v="1.04.00"/>
    <s v="FP Labor - Remote Services Ctr"/>
    <s v="Labor"/>
    <s v="CO-C"/>
    <d v="2026-02-03T00:00:00"/>
    <x v="5"/>
    <x v="30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37130"/>
    <s v="1523366697:1"/>
    <s v="1.04.00"/>
    <s v="FP Labor - Remote Services Ctr"/>
    <s v="Labor"/>
    <s v="CO-C"/>
    <d v="2026-02-03T00:00:00"/>
    <x v="5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4196"/>
    <s v="1522778484:1"/>
    <s v="1.04.00"/>
    <s v="FP Labor - Remote Services Ctr"/>
    <s v="Labor"/>
    <s v="CO-C"/>
    <d v="2026-02-03T00:00:00"/>
    <x v="5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2985863"/>
    <s v="3029619016664161"/>
    <s v="1.04.00"/>
    <s v="FP Labor - Remote Services Ctr"/>
    <s v="Labor"/>
    <s v="CO-C"/>
    <d v="2026-02-03T00:00:00"/>
    <x v="5"/>
    <x v="24"/>
    <s v="Billable Contractor"/>
    <m/>
    <s v="ORCL IN OSSI"/>
    <s v="504526 - 96V:GSC-DB &amp; Options"/>
    <s v="009B"/>
    <s v="Y"/>
    <s v="Y"/>
    <s v="Unrecognized"/>
    <n v="8"/>
    <s v="AED"/>
    <n v="112.53"/>
    <m/>
    <n v="900.2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0982"/>
    <s v="1522966702:1"/>
    <s v="1.04.00"/>
    <s v="FP Labor - Remote Services Ctr"/>
    <s v="Labor"/>
    <s v="CO-C"/>
    <d v="2026-02-03T00:00:00"/>
    <x v="5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1735"/>
    <s v="1526416477:1"/>
    <s v="1.04.00"/>
    <s v="FP Labor - Remote Services Ctr"/>
    <s v="Labor"/>
    <s v="CO-C"/>
    <d v="2026-02-03T00:00:00"/>
    <x v="5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44197"/>
    <s v="1522871179:1"/>
    <s v="1.04.00"/>
    <s v="FP Labor - Remote Services Ctr"/>
    <s v="Labor"/>
    <s v="CO-C"/>
    <d v="2026-02-03T00:00:00"/>
    <x v="5"/>
    <x v="33"/>
    <s v="Employee"/>
    <s v="6"/>
    <s v="ORCL IN OSSI"/>
    <s v="504526 - 96V:GSC-DB &amp; Options"/>
    <s v="09B1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18813"/>
    <s v="3029619075164881"/>
    <s v="1.04.00"/>
    <s v="FP Labor - Remote Services Ctr"/>
    <s v="Labor"/>
    <s v="CO-C"/>
    <d v="2026-02-04T00:00:00"/>
    <x v="5"/>
    <x v="26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4671"/>
    <s v="1522781522:1"/>
    <s v="1.04.00"/>
    <s v="FP Labor - Remote Services Ctr"/>
    <s v="Labor"/>
    <s v="CO-C"/>
    <d v="2026-02-04T00:00:00"/>
    <x v="5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4994"/>
    <s v="1522916713:1"/>
    <s v="1.04.00"/>
    <s v="FP Labor - Remote Services Ctr"/>
    <s v="Labor"/>
    <s v="CO-C"/>
    <d v="2026-02-04T00:00:00"/>
    <x v="5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2193"/>
    <s v="1522831652:1"/>
    <s v="1.04.00"/>
    <s v="FP Labor - Remote Services Ctr"/>
    <s v="Labor"/>
    <s v="CO-C"/>
    <d v="2026-02-04T00:00:00"/>
    <x v="5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4234"/>
    <s v="1522818000:1"/>
    <s v="1.04.00"/>
    <s v="FP Labor - Remote Services Ctr"/>
    <s v="Labor"/>
    <s v="CO-C"/>
    <d v="2026-02-04T00:00:00"/>
    <x v="5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4998"/>
    <s v="1523091780:1"/>
    <s v="1.04.00"/>
    <s v="FP Labor - Remote Services Ctr"/>
    <s v="Labor"/>
    <s v="CO-C"/>
    <d v="2026-02-04T00:00:00"/>
    <x v="5"/>
    <x v="18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5240"/>
    <s v="1522743305:1"/>
    <s v="1.04.00"/>
    <s v="FP Labor - Remote Services Ctr"/>
    <s v="Labor"/>
    <s v="CO-C"/>
    <d v="2026-02-04T00:00:00"/>
    <x v="5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3354"/>
    <s v="1523094016:2"/>
    <s v="1.04.00"/>
    <s v="FP Labor - Remote Services Ctr"/>
    <s v="Labor"/>
    <s v="CO-C"/>
    <d v="2026-02-04T00:00:00"/>
    <x v="5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2863"/>
    <s v="1523119619:1"/>
    <s v="1.04.00"/>
    <s v="FP Labor - Remote Services Ctr"/>
    <s v="Labor"/>
    <s v="CO-C"/>
    <d v="2026-02-04T00:00:00"/>
    <x v="5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2417"/>
    <s v="1522785560:1"/>
    <s v="1.04.00"/>
    <s v="FP Labor - Remote Services Ctr"/>
    <s v="Labor"/>
    <s v="CO-C"/>
    <d v="2026-02-04T00:00:00"/>
    <x v="5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18802"/>
    <s v="3029619346350291"/>
    <s v="1.04.00"/>
    <s v="FP Labor - Remote Services Ctr"/>
    <s v="Labor"/>
    <s v="CO-C"/>
    <d v="2026-02-04T00:00:00"/>
    <x v="5"/>
    <x v="12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18793"/>
    <s v="3029625676570041"/>
    <s v="1.04.00"/>
    <s v="FP Labor - Remote Services Ctr"/>
    <s v="Labor"/>
    <s v="CO-C"/>
    <d v="2026-02-04T00:00:00"/>
    <x v="5"/>
    <x v="13"/>
    <s v="Employee"/>
    <s v="8"/>
    <s v="ORCL EG"/>
    <s v="502416 - 3WP-EMEA Delivery Middleware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3602"/>
    <s v="1523115187:1"/>
    <s v="1.04.00"/>
    <s v="FP Labor - Remote Services Ctr"/>
    <s v="Labor"/>
    <s v="CO-C"/>
    <d v="2026-02-04T00:00:00"/>
    <x v="5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18853"/>
    <s v="3029625739085451"/>
    <s v="1.04.00"/>
    <s v="FP Labor - Remote Services Ctr"/>
    <s v="Labor"/>
    <s v="CO-C"/>
    <d v="2026-02-04T00:00:00"/>
    <x v="5"/>
    <x v="30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5416"/>
    <s v="1523366698:1"/>
    <s v="1.04.00"/>
    <s v="FP Labor - Remote Services Ctr"/>
    <s v="Labor"/>
    <s v="CO-C"/>
    <d v="2026-02-04T00:00:00"/>
    <x v="5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2534"/>
    <s v="1522778487:1"/>
    <s v="1.04.00"/>
    <s v="FP Labor - Remote Services Ctr"/>
    <s v="Labor"/>
    <s v="CO-C"/>
    <d v="2026-02-04T00:00:00"/>
    <x v="5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79309"/>
    <s v="3029619016664181"/>
    <s v="1.04.00"/>
    <s v="FP Labor - Remote Services Ctr"/>
    <s v="Labor"/>
    <s v="CO-C"/>
    <d v="2026-02-04T00:00:00"/>
    <x v="5"/>
    <x v="24"/>
    <s v="Billable Contractor"/>
    <m/>
    <s v="ORCL IN OSSI"/>
    <s v="504526 - 96V:GSC-DB &amp; Options"/>
    <s v="009B"/>
    <s v="Y"/>
    <s v="Y"/>
    <s v="Unrecognized"/>
    <n v="8"/>
    <s v="AED"/>
    <n v="112.53"/>
    <m/>
    <n v="900.2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02489"/>
    <s v="1522966703:1"/>
    <s v="1.04.00"/>
    <s v="FP Labor - Remote Services Ctr"/>
    <s v="Labor"/>
    <s v="CO-C"/>
    <d v="2026-02-04T00:00:00"/>
    <x v="5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8117"/>
    <s v="1526416478:1"/>
    <s v="1.04.00"/>
    <s v="FP Labor - Remote Services Ctr"/>
    <s v="Labor"/>
    <s v="CO-C"/>
    <d v="2026-02-04T00:00:00"/>
    <x v="5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43779"/>
    <s v="3029619076612141"/>
    <s v="1.04.00"/>
    <s v="FP Labor - Remote Services Ctr"/>
    <s v="Labor"/>
    <s v="CO-C"/>
    <d v="2026-02-05T00:00:00"/>
    <x v="5"/>
    <x v="26"/>
    <s v="Billable Contractor"/>
    <m/>
    <s v="ORCL EG"/>
    <s v="509485 - 73M: EMEA Business Analytics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3957"/>
    <s v="1522781521:1"/>
    <s v="1.04.00"/>
    <s v="FP Labor - Remote Services Ctr"/>
    <s v="Labor"/>
    <s v="CO-C"/>
    <d v="2026-02-05T00:00:00"/>
    <x v="5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65848"/>
    <s v="1522916714:1"/>
    <s v="1.04.00"/>
    <s v="FP Labor - Remote Services Ctr"/>
    <s v="Labor"/>
    <s v="CO-C"/>
    <d v="2026-02-05T00:00:00"/>
    <x v="5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3484"/>
    <s v="1522831653:1"/>
    <s v="1.04.00"/>
    <s v="FP Labor - Remote Services Ctr"/>
    <s v="Labor"/>
    <s v="CO-C"/>
    <d v="2026-02-05T00:00:00"/>
    <x v="5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63115"/>
    <s v="1522818001:1"/>
    <s v="1.04.00"/>
    <s v="FP Labor - Remote Services Ctr"/>
    <s v="Labor"/>
    <s v="CO-C"/>
    <d v="2026-02-05T00:00:00"/>
    <x v="5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2424"/>
    <s v="1523091781:1"/>
    <s v="1.04.00"/>
    <s v="FP Labor - Remote Services Ctr"/>
    <s v="Labor"/>
    <s v="CO-C"/>
    <d v="2026-02-05T00:00:00"/>
    <x v="5"/>
    <x v="18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64855"/>
    <s v="1522743304:1"/>
    <s v="1.04.00"/>
    <s v="FP Labor - Remote Services Ctr"/>
    <s v="Labor"/>
    <s v="CO-C"/>
    <d v="2026-02-05T00:00:00"/>
    <x v="5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7063"/>
    <s v="1523094017:2"/>
    <s v="1.04.00"/>
    <s v="FP Labor - Remote Services Ctr"/>
    <s v="Labor"/>
    <s v="CO-C"/>
    <d v="2026-02-05T00:00:00"/>
    <x v="5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8208"/>
    <s v="1523119620:1"/>
    <s v="1.04.00"/>
    <s v="FP Labor - Remote Services Ctr"/>
    <s v="Labor"/>
    <s v="CO-C"/>
    <d v="2026-02-05T00:00:00"/>
    <x v="5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8826"/>
    <s v="1522785561:1"/>
    <s v="1.04.00"/>
    <s v="FP Labor - Remote Services Ctr"/>
    <s v="Labor"/>
    <s v="CO-C"/>
    <d v="2026-02-05T00:00:00"/>
    <x v="5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43864"/>
    <s v="3029619346350311"/>
    <s v="1.04.00"/>
    <s v="FP Labor - Remote Services Ctr"/>
    <s v="Labor"/>
    <s v="CO-C"/>
    <d v="2026-02-05T00:00:00"/>
    <x v="5"/>
    <x v="12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43947"/>
    <s v="3029626974831441"/>
    <s v="1.04.00"/>
    <s v="FP Labor - Remote Services Ctr"/>
    <s v="Labor"/>
    <s v="CO-C"/>
    <d v="2026-02-05T00:00:00"/>
    <x v="5"/>
    <x v="13"/>
    <s v="Employee"/>
    <s v="8"/>
    <s v="ORCL EG"/>
    <s v="502416 - 3WP-EMEA Delivery Middleware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42614"/>
    <s v="1523115188:1"/>
    <s v="1.04.00"/>
    <s v="FP Labor - Remote Services Ctr"/>
    <s v="Labor"/>
    <s v="CO-C"/>
    <d v="2026-02-05T00:00:00"/>
    <x v="5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43906"/>
    <s v="3029625739085471"/>
    <s v="1.04.00"/>
    <s v="FP Labor - Remote Services Ctr"/>
    <s v="Labor"/>
    <s v="CO-C"/>
    <d v="2026-02-05T00:00:00"/>
    <x v="5"/>
    <x v="30"/>
    <s v="Billable Contractor"/>
    <m/>
    <s v="ORCL EG"/>
    <s v="509335 - U3K-EMEA Tech Delivery - PaaS"/>
    <s v="008U"/>
    <s v="Y"/>
    <s v="Y"/>
    <s v="Unrecognized"/>
    <n v="8"/>
    <s v="AED"/>
    <n v="68.87"/>
    <n v="754.44"/>
    <n v="550.950000000000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63991"/>
    <s v="1523366699:1"/>
    <s v="1.04.00"/>
    <s v="FP Labor - Remote Services Ctr"/>
    <s v="Labor"/>
    <s v="CO-C"/>
    <d v="2026-02-05T00:00:00"/>
    <x v="5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63662"/>
    <s v="1522778485:1"/>
    <s v="1.04.00"/>
    <s v="FP Labor - Remote Services Ctr"/>
    <s v="Labor"/>
    <s v="CO-C"/>
    <d v="2026-02-05T00:00:00"/>
    <x v="5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098601"/>
    <s v="3029619016664201"/>
    <s v="1.04.00"/>
    <s v="FP Labor - Remote Services Ctr"/>
    <s v="Labor"/>
    <s v="CO-C"/>
    <d v="2026-02-05T00:00:00"/>
    <x v="5"/>
    <x v="24"/>
    <s v="Billable Contractor"/>
    <m/>
    <s v="ORCL IN OSSI"/>
    <s v="504526 - 96V:GSC-DB &amp; Options"/>
    <s v="009B"/>
    <s v="Y"/>
    <s v="Y"/>
    <s v="Unrecognized"/>
    <n v="8"/>
    <s v="AED"/>
    <n v="112.53"/>
    <m/>
    <n v="900.26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42729"/>
    <s v="1522966704:1"/>
    <s v="1.04.00"/>
    <s v="FP Labor - Remote Services Ctr"/>
    <s v="Labor"/>
    <s v="CO-C"/>
    <d v="2026-02-05T00:00:00"/>
    <x v="5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7676"/>
    <s v="1526416479:1"/>
    <s v="1.04.00"/>
    <s v="FP Labor - Remote Services Ctr"/>
    <s v="Labor"/>
    <s v="CO-C"/>
    <d v="2026-02-05T00:00:00"/>
    <x v="5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158235"/>
    <s v="1522871181:1"/>
    <s v="1.04.00"/>
    <s v="FP Labor - Remote Services Ctr"/>
    <s v="Labor"/>
    <s v="CO-C"/>
    <d v="2026-02-05T00:00:00"/>
    <x v="5"/>
    <x v="33"/>
    <s v="Employee"/>
    <s v="6"/>
    <s v="ORCL IN OSSI"/>
    <s v="504526 - 96V:GSC-DB &amp; Options"/>
    <s v="09B1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8984"/>
    <s v="1522781520:1"/>
    <s v="1.04.00"/>
    <s v="FP Labor - Remote Services Ctr"/>
    <s v="Labor"/>
    <s v="CO-C"/>
    <d v="2026-02-06T00:00:00"/>
    <x v="5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9822"/>
    <s v="1522916715:1"/>
    <s v="1.04.00"/>
    <s v="FP Labor - Remote Services Ctr"/>
    <s v="Labor"/>
    <s v="CO-C"/>
    <d v="2026-02-06T00:00:00"/>
    <x v="5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8017"/>
    <s v="1522831654:1"/>
    <s v="1.04.00"/>
    <s v="FP Labor - Remote Services Ctr"/>
    <s v="Labor"/>
    <s v="CO-C"/>
    <d v="2026-02-06T00:00:00"/>
    <x v="5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7604"/>
    <s v="1522818002:1"/>
    <s v="1.04.00"/>
    <s v="FP Labor - Remote Services Ctr"/>
    <s v="Labor"/>
    <s v="CO-C"/>
    <d v="2026-02-06T00:00:00"/>
    <x v="5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6360"/>
    <s v="1523091782:1"/>
    <s v="1.04.00"/>
    <s v="FP Labor - Remote Services Ctr"/>
    <s v="Labor"/>
    <s v="CO-C"/>
    <d v="2026-02-06T00:00:00"/>
    <x v="5"/>
    <x v="18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9379"/>
    <s v="1522743303:1"/>
    <s v="1.04.00"/>
    <s v="FP Labor - Remote Services Ctr"/>
    <s v="Labor"/>
    <s v="CO-C"/>
    <d v="2026-02-06T00:00:00"/>
    <x v="5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6116"/>
    <s v="1523094018:2"/>
    <s v="1.04.00"/>
    <s v="FP Labor - Remote Services Ctr"/>
    <s v="Labor"/>
    <s v="CO-C"/>
    <d v="2026-02-06T00:00:00"/>
    <x v="5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1029"/>
    <s v="1523119621:1"/>
    <s v="1.04.00"/>
    <s v="FP Labor - Remote Services Ctr"/>
    <s v="Labor"/>
    <s v="CO-C"/>
    <d v="2026-02-06T00:00:00"/>
    <x v="5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7591"/>
    <s v="1522785562:1"/>
    <s v="1.04.00"/>
    <s v="FP Labor - Remote Services Ctr"/>
    <s v="Labor"/>
    <s v="CO-C"/>
    <d v="2026-02-06T00:00:00"/>
    <x v="5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60141"/>
    <s v="3029619346350331"/>
    <s v="1.04.00"/>
    <s v="FP Labor - Remote Services Ctr"/>
    <s v="Labor"/>
    <s v="CO-C"/>
    <d v="2026-02-06T00:00:00"/>
    <x v="5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36"/>
    <s v="3029631826582321"/>
    <s v="1.04.00"/>
    <s v="FP Labor - Remote Services Ctr"/>
    <s v="Labor"/>
    <s v="CO-C"/>
    <d v="2026-02-06T00:00:00"/>
    <x v="5"/>
    <x v="13"/>
    <s v="Employee"/>
    <s v="8"/>
    <s v="ORCL EG"/>
    <s v="502416 - 3WP-EMEA Delivery Middleware - IaaS"/>
    <s v="008U"/>
    <s v="Y"/>
    <s v="Y"/>
    <s v="Unrecognized"/>
    <n v="8"/>
    <s v="AED"/>
    <n v="107.99"/>
    <n v="943.05"/>
    <n v="863.89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2644"/>
    <s v="1523115189:1"/>
    <s v="1.04.00"/>
    <s v="FP Labor - Remote Services Ctr"/>
    <s v="Labor"/>
    <s v="CO-C"/>
    <d v="2026-02-06T00:00:00"/>
    <x v="5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63073"/>
    <s v="3029631315198861"/>
    <s v="1.04.00"/>
    <s v="FP Labor - Remote Services Ctr"/>
    <s v="Labor"/>
    <s v="CO-C"/>
    <d v="2026-02-06T00:00:00"/>
    <x v="5"/>
    <x v="30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9385"/>
    <s v="1523366700:1"/>
    <s v="1.04.00"/>
    <s v="FP Labor - Remote Services Ctr"/>
    <s v="Labor"/>
    <s v="CO-C"/>
    <d v="2026-02-06T00:00:00"/>
    <x v="5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42414"/>
    <s v="1522778486:1"/>
    <s v="1.04.00"/>
    <s v="FP Labor - Remote Services Ctr"/>
    <s v="Labor"/>
    <s v="CO-C"/>
    <d v="2026-02-06T00:00:00"/>
    <x v="5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31148"/>
    <s v="3029619016664221"/>
    <s v="1.04.00"/>
    <s v="FP Labor - Remote Services Ctr"/>
    <s v="Labor"/>
    <s v="CO-C"/>
    <d v="2026-02-06T00:00:00"/>
    <x v="5"/>
    <x v="24"/>
    <s v="Billable Contractor"/>
    <m/>
    <s v="ORCL IN OSSI"/>
    <s v="504526 - 96V:GSC-DB &amp; Options"/>
    <s v="009B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9796"/>
    <s v="1522966705:1"/>
    <s v="1.04.00"/>
    <s v="FP Labor - Remote Services Ctr"/>
    <s v="Labor"/>
    <s v="CO-C"/>
    <d v="2026-02-06T00:00:00"/>
    <x v="5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1300"/>
    <s v="1526416480:1"/>
    <s v="1.04.00"/>
    <s v="FP Labor - Remote Services Ctr"/>
    <s v="Labor"/>
    <s v="CO-C"/>
    <d v="2026-02-06T00:00:00"/>
    <x v="5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257951"/>
    <s v="1522871182:1"/>
    <s v="1.04.00"/>
    <s v="FP Labor - Remote Services Ctr"/>
    <s v="Labor"/>
    <s v="CO-C"/>
    <d v="2026-02-06T00:00:00"/>
    <x v="5"/>
    <x v="33"/>
    <s v="Employee"/>
    <s v="6"/>
    <s v="ORCL IN OSSI"/>
    <s v="504526 - 96V:GSC-DB &amp; Options"/>
    <s v="09B1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41"/>
    <s v="3029631794193521"/>
    <s v="1.04.00"/>
    <s v="FP Labor - Remote Services Ctr"/>
    <s v="Labor"/>
    <s v="CO-C"/>
    <d v="2026-02-08T00:00:00"/>
    <x v="6"/>
    <x v="2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78047"/>
    <s v="3029619075746151"/>
    <s v="1.04.00"/>
    <s v="FP Labor - Remote Services Ctr"/>
    <s v="Labor"/>
    <s v="CO-C"/>
    <d v="2026-02-09T00:00:00"/>
    <x v="6"/>
    <x v="2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78048"/>
    <s v="3029619309845361"/>
    <s v="1.04.00"/>
    <s v="FP Labor - Remote Services Ctr"/>
    <s v="Labor"/>
    <s v="CO-C"/>
    <d v="2026-02-09T00:00:00"/>
    <x v="6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8484"/>
    <s v="1522781621:1"/>
    <s v="1.04.00"/>
    <s v="FP Labor - Remote Services Ctr"/>
    <s v="Labor"/>
    <s v="CO-C"/>
    <d v="2026-02-09T00:00:00"/>
    <x v="6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50360"/>
    <s v="1522916737:1"/>
    <s v="1.04.00"/>
    <s v="FP Labor - Remote Services Ctr"/>
    <s v="Labor"/>
    <s v="CO-C"/>
    <d v="2026-02-09T00:00:00"/>
    <x v="6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50110"/>
    <s v="1522831668:1"/>
    <s v="1.04.00"/>
    <s v="FP Labor - Remote Services Ctr"/>
    <s v="Labor"/>
    <s v="CO-C"/>
    <d v="2026-02-09T00:00:00"/>
    <x v="6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7790"/>
    <s v="1522818137:1"/>
    <s v="1.04.00"/>
    <s v="FP Labor - Remote Services Ctr"/>
    <s v="Labor"/>
    <s v="CO-C"/>
    <d v="2026-02-09T00:00:00"/>
    <x v="6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9368"/>
    <s v="1523091798:1"/>
    <s v="1.04.00"/>
    <s v="FP Labor - Remote Services Ctr"/>
    <s v="Labor"/>
    <s v="CO-C"/>
    <d v="2026-02-09T00:00:00"/>
    <x v="6"/>
    <x v="18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7852"/>
    <s v="1522743445:1"/>
    <s v="1.04.00"/>
    <s v="FP Labor - Remote Services Ctr"/>
    <s v="Labor"/>
    <s v="CO-C"/>
    <d v="2026-02-09T00:00:00"/>
    <x v="6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50507"/>
    <s v="1523094060:2"/>
    <s v="1.04.00"/>
    <s v="FP Labor - Remote Services Ctr"/>
    <s v="Labor"/>
    <s v="CO-C"/>
    <d v="2026-02-09T00:00:00"/>
    <x v="6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50293"/>
    <s v="1523119644:1"/>
    <s v="1.04.00"/>
    <s v="FP Labor - Remote Services Ctr"/>
    <s v="Labor"/>
    <s v="CO-C"/>
    <d v="2026-02-09T00:00:00"/>
    <x v="6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72740"/>
    <s v="1522785648:3"/>
    <s v="1.04.00"/>
    <s v="FP Labor - Remote Services Ctr"/>
    <s v="Labor"/>
    <s v="CO-C"/>
    <d v="2026-02-09T00:00:00"/>
    <x v="6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78004"/>
    <s v="3029619346012311"/>
    <s v="1.04.00"/>
    <s v="FP Labor - Remote Services Ctr"/>
    <s v="Labor"/>
    <s v="CO-C"/>
    <d v="2026-02-09T00:00:00"/>
    <x v="6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8138"/>
    <s v="1523115254:1"/>
    <s v="1.04.00"/>
    <s v="FP Labor - Remote Services Ctr"/>
    <s v="Labor"/>
    <s v="CO-C"/>
    <d v="2026-02-09T00:00:00"/>
    <x v="6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78068"/>
    <s v="3029625736742201"/>
    <s v="1.04.00"/>
    <s v="FP Labor - Remote Services Ctr"/>
    <s v="Labor"/>
    <s v="CO-C"/>
    <d v="2026-02-09T00:00:00"/>
    <x v="6"/>
    <x v="30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8357"/>
    <s v="1523366714:1"/>
    <s v="1.04.00"/>
    <s v="FP Labor - Remote Services Ctr"/>
    <s v="Labor"/>
    <s v="CO-C"/>
    <d v="2026-02-09T00:00:00"/>
    <x v="6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7993"/>
    <s v="1522778514:2"/>
    <s v="1.04.00"/>
    <s v="FP Labor - Remote Services Ctr"/>
    <s v="Labor"/>
    <s v="CO-C"/>
    <d v="2026-02-09T00:00:00"/>
    <x v="6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80389"/>
    <s v="3029619018759831"/>
    <s v="1.04.00"/>
    <s v="FP Labor - Remote Services Ctr"/>
    <s v="Labor"/>
    <s v="CO-C"/>
    <d v="2026-02-09T00:00:00"/>
    <x v="6"/>
    <x v="24"/>
    <s v="Billable Contractor"/>
    <m/>
    <s v="ORCL IN OSSI"/>
    <s v="504526 - 96V:GSC-DB &amp; Options"/>
    <s v="009B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8110"/>
    <s v="1522966924:1"/>
    <s v="1.04.00"/>
    <s v="FP Labor - Remote Services Ctr"/>
    <s v="Labor"/>
    <s v="CO-C"/>
    <d v="2026-02-09T00:00:00"/>
    <x v="6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6422"/>
    <s v="1527066951:1"/>
    <s v="1.04.00"/>
    <s v="FP Labor - Remote Services Ctr"/>
    <s v="Labor"/>
    <s v="CO-C"/>
    <d v="2026-02-09T00:00:00"/>
    <x v="6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48565"/>
    <s v="1522871196:1"/>
    <s v="1.04.00"/>
    <s v="FP Labor - Remote Services Ctr"/>
    <s v="Labor"/>
    <s v="CO-C"/>
    <d v="2026-02-09T00:00:00"/>
    <x v="6"/>
    <x v="33"/>
    <s v="Employee"/>
    <s v="6"/>
    <s v="ORCL IN OSSI"/>
    <s v="504526 - 96V:GSC-DB &amp; Options"/>
    <s v="09B1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11720"/>
    <s v="3029619075746171"/>
    <s v="1.04.00"/>
    <s v="FP Labor - Remote Services Ctr"/>
    <s v="Labor"/>
    <s v="CO-C"/>
    <d v="2026-02-10T00:00:00"/>
    <x v="6"/>
    <x v="2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11729"/>
    <s v="3029619309845381"/>
    <s v="1.04.00"/>
    <s v="FP Labor - Remote Services Ctr"/>
    <s v="Labor"/>
    <s v="CO-C"/>
    <d v="2026-02-10T00:00:00"/>
    <x v="6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4841"/>
    <s v="1522781620:1"/>
    <s v="1.04.00"/>
    <s v="FP Labor - Remote Services Ctr"/>
    <s v="Labor"/>
    <s v="CO-C"/>
    <d v="2026-02-10T00:00:00"/>
    <x v="6"/>
    <x v="15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3063"/>
    <s v="1522916738:1"/>
    <s v="1.04.00"/>
    <s v="FP Labor - Remote Services Ctr"/>
    <s v="Labor"/>
    <s v="CO-C"/>
    <d v="2026-02-10T00:00:00"/>
    <x v="6"/>
    <x v="27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2980"/>
    <s v="1522831669:1"/>
    <s v="1.04.00"/>
    <s v="FP Labor - Remote Services Ctr"/>
    <s v="Labor"/>
    <s v="CO-C"/>
    <d v="2026-02-10T00:00:00"/>
    <x v="6"/>
    <x v="16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5528"/>
    <s v="1522818138:1"/>
    <s v="1.04.00"/>
    <s v="FP Labor - Remote Services Ctr"/>
    <s v="Labor"/>
    <s v="CO-C"/>
    <d v="2026-02-10T00:00:00"/>
    <x v="6"/>
    <x v="17"/>
    <s v="Employee"/>
    <s v="5"/>
    <s v="ORCL IN OSSI"/>
    <s v="504526 - 96V:GSC-DB &amp; Options"/>
    <s v="09B3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4612"/>
    <s v="1523091799:1"/>
    <s v="1.04.00"/>
    <s v="FP Labor - Remote Services Ctr"/>
    <s v="Labor"/>
    <s v="CO-C"/>
    <d v="2026-02-10T00:00:00"/>
    <x v="6"/>
    <x v="18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4427"/>
    <s v="1522743444:1"/>
    <s v="1.04.00"/>
    <s v="FP Labor - Remote Services Ctr"/>
    <s v="Labor"/>
    <s v="CO-C"/>
    <d v="2026-02-10T00:00:00"/>
    <x v="6"/>
    <x v="19"/>
    <s v="Employee"/>
    <s v="4"/>
    <s v="ORCL IN OSSI"/>
    <s v="504526 - 96V:GSC-DB &amp; Options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3087"/>
    <s v="1523094061:2"/>
    <s v="1.04.00"/>
    <s v="FP Labor - Remote Services Ctr"/>
    <s v="Labor"/>
    <s v="CO-C"/>
    <d v="2026-02-10T00:00:00"/>
    <x v="6"/>
    <x v="28"/>
    <s v="Employee"/>
    <s v="6"/>
    <s v="ORCL IN OSSI"/>
    <s v="504526 - 96V:GSC-DB &amp; Options"/>
    <s v="09B4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3922"/>
    <s v="1523119645:1"/>
    <s v="1.04.00"/>
    <s v="FP Labor - Remote Services Ctr"/>
    <s v="Labor"/>
    <s v="CO-C"/>
    <d v="2026-02-10T00:00:00"/>
    <x v="6"/>
    <x v="20"/>
    <s v="Employee"/>
    <s v="4"/>
    <s v="ORCL IN OSSI"/>
    <s v="504506 - 94V:GSC-eStudio"/>
    <s v="09B4"/>
    <s v="Y"/>
    <s v="Y"/>
    <s v="Unrecognized"/>
    <n v="8"/>
    <s v="AED"/>
    <n v="70.03"/>
    <n v="542.25"/>
    <n v="560.2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2327"/>
    <s v="1522785649:3"/>
    <s v="1.04.00"/>
    <s v="FP Labor - Remote Services Ctr"/>
    <s v="Labor"/>
    <s v="CO-C"/>
    <d v="2026-02-10T00:00:00"/>
    <x v="6"/>
    <x v="21"/>
    <s v="Employee"/>
    <s v="5"/>
    <s v="ORCL IN OSSI"/>
    <s v="504526 - 96V:GSC-DB &amp; Options"/>
    <s v="09B4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4877"/>
    <s v="1522781387:1"/>
    <s v="1.04.00"/>
    <s v="FP Labor - Remote Services Ctr"/>
    <s v="Labor"/>
    <s v="CO-C"/>
    <d v="2026-02-10T00:00:00"/>
    <x v="6"/>
    <x v="29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11738"/>
    <s v="3029619346012331"/>
    <s v="1.04.00"/>
    <s v="FP Labor - Remote Services Ctr"/>
    <s v="Labor"/>
    <s v="CO-C"/>
    <d v="2026-02-10T00:00:00"/>
    <x v="6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5556"/>
    <s v="1523115255:1"/>
    <s v="1.04.00"/>
    <s v="FP Labor - Remote Services Ctr"/>
    <s v="Labor"/>
    <s v="CO-C"/>
    <d v="2026-02-10T00:00:00"/>
    <x v="6"/>
    <x v="22"/>
    <s v="Employee"/>
    <s v="6"/>
    <s v="ORCL IN OSSI"/>
    <s v="504526 - 96V:GSC-DB &amp; Options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11698"/>
    <s v="3029625736742221"/>
    <s v="1.04.00"/>
    <s v="FP Labor - Remote Services Ctr"/>
    <s v="Labor"/>
    <s v="CO-C"/>
    <d v="2026-02-10T00:00:00"/>
    <x v="6"/>
    <x v="30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463953"/>
    <s v="1523366715:1"/>
    <s v="1.04.00"/>
    <s v="FP Labor - Remote Services Ctr"/>
    <s v="Labor"/>
    <s v="CO-C"/>
    <d v="2026-02-10T00:00:00"/>
    <x v="6"/>
    <x v="23"/>
    <s v="Employee"/>
    <s v="5"/>
    <s v="ORCL IN OSSI"/>
    <s v="504526 - 96V:GSC-DB &amp; Options"/>
    <s v="09B1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3978"/>
    <s v="1522778515:2"/>
    <s v="1.04.00"/>
    <s v="FP Labor - Remote Services Ctr"/>
    <s v="Labor"/>
    <s v="CO-C"/>
    <d v="2026-02-10T00:00:00"/>
    <x v="6"/>
    <x v="31"/>
    <s v="Employee"/>
    <s v="6"/>
    <s v="ORCL IN OSSI"/>
    <s v="504506 - 94V:GSC-eStudio"/>
    <s v="09B2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19436"/>
    <s v="3029619018759851"/>
    <s v="1.04.00"/>
    <s v="FP Labor - Remote Services Ctr"/>
    <s v="Labor"/>
    <s v="CO-C"/>
    <d v="2026-02-10T00:00:00"/>
    <x v="6"/>
    <x v="24"/>
    <s v="Billable Contractor"/>
    <m/>
    <s v="ORCL IN OSSI"/>
    <s v="504526 - 96V:GSC-DB &amp; Options"/>
    <s v="009B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4197"/>
    <s v="1522966925:1"/>
    <s v="1.04.00"/>
    <s v="FP Labor - Remote Services Ctr"/>
    <s v="Labor"/>
    <s v="CO-C"/>
    <d v="2026-02-10T00:00:00"/>
    <x v="6"/>
    <x v="25"/>
    <s v="Employee"/>
    <s v="7"/>
    <s v="ORCL IN OSSI"/>
    <s v="504506 - 94V:GSC-eStudio"/>
    <s v="009B"/>
    <s v="Y"/>
    <s v="Y"/>
    <s v="Unrecognized"/>
    <n v="8"/>
    <s v="AED"/>
    <n v="112.53"/>
    <n v="813.38"/>
    <n v="900.2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1894"/>
    <s v="1527066947:1"/>
    <s v="1.04.00"/>
    <s v="FP Labor - Remote Services Ctr"/>
    <s v="Labor"/>
    <s v="CO-C"/>
    <d v="2026-02-10T00:00:00"/>
    <x v="6"/>
    <x v="32"/>
    <s v="Employee"/>
    <s v="5"/>
    <s v="ORCL IN OSSI"/>
    <s v="504546 - 98V:GSC-PaaS"/>
    <s v="09B2"/>
    <s v="Y"/>
    <s v="Y"/>
    <s v="Unrecognized"/>
    <n v="8"/>
    <s v="AED"/>
    <n v="70.03"/>
    <n v="660.13"/>
    <n v="560.2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55058"/>
    <s v="1522871197:1"/>
    <s v="1.04.00"/>
    <s v="FP Labor - Remote Services Ctr"/>
    <s v="Labor"/>
    <s v="CO-C"/>
    <d v="2026-02-10T00:00:00"/>
    <x v="6"/>
    <x v="33"/>
    <s v="Employee"/>
    <s v="6"/>
    <s v="ORCL IN OSSI"/>
    <s v="504526 - 96V:GSC-DB &amp; Options"/>
    <s v="09B1"/>
    <s v="Y"/>
    <s v="Y"/>
    <s v="Unrecognized"/>
    <n v="8"/>
    <s v="AED"/>
    <n v="112.53"/>
    <n v="754.44"/>
    <n v="900.2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39"/>
    <s v="3029631794193581"/>
    <s v="1.04.00"/>
    <s v="FP Labor - Remote Services Ctr"/>
    <s v="Labor"/>
    <s v="CO-C"/>
    <d v="2026-02-11T00:00:00"/>
    <x v="6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6417"/>
    <s v="1522781619:1"/>
    <s v="1.04.00"/>
    <s v="FP Labor - Remote Services Ctr"/>
    <s v="Labor"/>
    <s v="CO-C"/>
    <d v="2026-02-11T00:00:00"/>
    <x v="6"/>
    <x v="15"/>
    <s v="Employee"/>
    <s v="6"/>
    <s v="ORCL IN OSSI"/>
    <s v="504526 - 96V:GSC-DB &amp; Options"/>
    <s v="09B2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1583"/>
    <s v="1522916739:1"/>
    <s v="1.04.00"/>
    <s v="FP Labor - Remote Services Ctr"/>
    <s v="Labor"/>
    <s v="CO-C"/>
    <d v="2026-02-11T00:00:00"/>
    <x v="6"/>
    <x v="27"/>
    <s v="Employee"/>
    <s v="6"/>
    <s v="ORCL IN OSSI"/>
    <s v="504526 - 96V:GSC-DB &amp; Options"/>
    <s v="09B4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0196"/>
    <s v="1522831670:1"/>
    <s v="1.04.00"/>
    <s v="FP Labor - Remote Services Ctr"/>
    <s v="Labor"/>
    <s v="CO-C"/>
    <d v="2026-02-11T00:00:00"/>
    <x v="6"/>
    <x v="16"/>
    <s v="Employee"/>
    <s v="5"/>
    <s v="ORCL IN OSSI"/>
    <s v="504526 - 96V:GSC-DB &amp; Options"/>
    <s v="09B1"/>
    <s v="Y"/>
    <s v="Y"/>
    <s v="Unrecognized"/>
    <n v="8"/>
    <s v="AED"/>
    <n v="70.89"/>
    <n v="660.13"/>
    <n v="567.08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0163"/>
    <s v="1522818139:1"/>
    <s v="1.04.00"/>
    <s v="FP Labor - Remote Services Ctr"/>
    <s v="Labor"/>
    <s v="CO-C"/>
    <d v="2026-02-11T00:00:00"/>
    <x v="6"/>
    <x v="17"/>
    <s v="Employee"/>
    <s v="5"/>
    <s v="ORCL IN OSSI"/>
    <s v="504526 - 96V:GSC-DB &amp; Options"/>
    <s v="09B3"/>
    <s v="Y"/>
    <s v="Y"/>
    <s v="Unrecognized"/>
    <n v="8"/>
    <s v="AED"/>
    <n v="70.89"/>
    <n v="660.13"/>
    <n v="567.08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1820"/>
    <s v="1522743443:1"/>
    <s v="1.04.00"/>
    <s v="FP Labor - Remote Services Ctr"/>
    <s v="Labor"/>
    <s v="CO-C"/>
    <d v="2026-02-11T00:00:00"/>
    <x v="6"/>
    <x v="19"/>
    <s v="Employee"/>
    <s v="4"/>
    <s v="ORCL IN OSSI"/>
    <s v="504526 - 96V:GSC-DB &amp; Options"/>
    <s v="09B4"/>
    <s v="Y"/>
    <s v="Y"/>
    <s v="Unrecognized"/>
    <n v="8"/>
    <s v="AED"/>
    <n v="70.89"/>
    <n v="542.25"/>
    <n v="567.0800000000000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1323"/>
    <s v="1523094062:2"/>
    <s v="1.04.00"/>
    <s v="FP Labor - Remote Services Ctr"/>
    <s v="Labor"/>
    <s v="CO-C"/>
    <d v="2026-02-11T00:00:00"/>
    <x v="6"/>
    <x v="28"/>
    <s v="Employee"/>
    <s v="6"/>
    <s v="ORCL IN OSSI"/>
    <s v="504526 - 96V:GSC-DB &amp; Options"/>
    <s v="09B4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0210"/>
    <s v="1523119646:1"/>
    <s v="1.04.00"/>
    <s v="FP Labor - Remote Services Ctr"/>
    <s v="Labor"/>
    <s v="CO-C"/>
    <d v="2026-02-11T00:00:00"/>
    <x v="6"/>
    <x v="20"/>
    <s v="Employee"/>
    <s v="4"/>
    <s v="ORCL IN OSSI"/>
    <s v="504506 - 94V:GSC-eStudio"/>
    <s v="09B4"/>
    <s v="Y"/>
    <s v="Y"/>
    <s v="Unrecognized"/>
    <n v="8"/>
    <s v="AED"/>
    <n v="70.89"/>
    <n v="542.25"/>
    <n v="567.0800000000000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9302"/>
    <s v="1522781386:1"/>
    <s v="1.04.00"/>
    <s v="FP Labor - Remote Services Ctr"/>
    <s v="Labor"/>
    <s v="CO-C"/>
    <d v="2026-02-11T00:00:00"/>
    <x v="6"/>
    <x v="29"/>
    <s v="Employee"/>
    <s v="6"/>
    <s v="ORCL IN OSSI"/>
    <s v="504506 - 94V:GSC-eStudio"/>
    <s v="09B2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3590"/>
    <s v="3029619346012351"/>
    <s v="1.04.00"/>
    <s v="FP Labor - Remote Services Ctr"/>
    <s v="Labor"/>
    <s v="CO-C"/>
    <d v="2026-02-11T00:00:00"/>
    <x v="6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0820"/>
    <s v="1523115256:1"/>
    <s v="1.04.00"/>
    <s v="FP Labor - Remote Services Ctr"/>
    <s v="Labor"/>
    <s v="CO-C"/>
    <d v="2026-02-11T00:00:00"/>
    <x v="6"/>
    <x v="22"/>
    <s v="Employee"/>
    <s v="6"/>
    <s v="ORCL IN OSSI"/>
    <s v="504526 - 96V:GSC-DB &amp; Options"/>
    <s v="09B2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3759"/>
    <s v="3029625736742241"/>
    <s v="1.04.00"/>
    <s v="FP Labor - Remote Services Ctr"/>
    <s v="Labor"/>
    <s v="CO-C"/>
    <d v="2026-02-11T00:00:00"/>
    <x v="6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9215"/>
    <s v="1523366716:1"/>
    <s v="1.04.00"/>
    <s v="FP Labor - Remote Services Ctr"/>
    <s v="Labor"/>
    <s v="CO-C"/>
    <d v="2026-02-11T00:00:00"/>
    <x v="6"/>
    <x v="23"/>
    <s v="Employee"/>
    <s v="5"/>
    <s v="ORCL IN OSSI"/>
    <s v="504526 - 96V:GSC-DB &amp; Options"/>
    <s v="09B1"/>
    <s v="Y"/>
    <s v="Y"/>
    <s v="Unrecognized"/>
    <n v="8"/>
    <s v="AED"/>
    <n v="70.89"/>
    <n v="660.13"/>
    <n v="567.08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1826"/>
    <s v="1522778518:2"/>
    <s v="1.04.00"/>
    <s v="FP Labor - Remote Services Ctr"/>
    <s v="Labor"/>
    <s v="CO-C"/>
    <d v="2026-02-11T00:00:00"/>
    <x v="6"/>
    <x v="31"/>
    <s v="Employee"/>
    <s v="6"/>
    <s v="ORCL IN OSSI"/>
    <s v="504506 - 94V:GSC-eStudio"/>
    <s v="09B2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4647"/>
    <s v="3029619018759871"/>
    <s v="1.04.00"/>
    <s v="FP Labor - Remote Services Ctr"/>
    <s v="Labor"/>
    <s v="CO-C"/>
    <d v="2026-02-11T00:00:00"/>
    <x v="6"/>
    <x v="24"/>
    <s v="Billable Contractor"/>
    <m/>
    <s v="ORCL IN OSSI"/>
    <s v="504526 - 96V:GSC-DB &amp; Options"/>
    <s v="009B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8765"/>
    <s v="1522966926:1"/>
    <s v="1.04.00"/>
    <s v="FP Labor - Remote Services Ctr"/>
    <s v="Labor"/>
    <s v="CO-C"/>
    <d v="2026-02-11T00:00:00"/>
    <x v="6"/>
    <x v="25"/>
    <s v="Employee"/>
    <s v="7"/>
    <s v="ORCL IN OSSI"/>
    <s v="504506 - 94V:GSC-eStudio"/>
    <s v="009B"/>
    <s v="Y"/>
    <s v="Y"/>
    <s v="Unrecognized"/>
    <n v="8"/>
    <s v="AED"/>
    <n v="113.9"/>
    <n v="813.38"/>
    <n v="911.2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1478"/>
    <s v="1527066948:1"/>
    <s v="1.04.00"/>
    <s v="FP Labor - Remote Services Ctr"/>
    <s v="Labor"/>
    <s v="CO-C"/>
    <d v="2026-02-11T00:00:00"/>
    <x v="6"/>
    <x v="32"/>
    <s v="Employee"/>
    <s v="5"/>
    <s v="ORCL IN OSSI"/>
    <s v="504546 - 98V:GSC-PaaS"/>
    <s v="09B2"/>
    <s v="Y"/>
    <s v="Y"/>
    <s v="Unrecognized"/>
    <n v="8"/>
    <s v="AED"/>
    <n v="70.89"/>
    <n v="660.13"/>
    <n v="567.08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78859"/>
    <s v="1522871198:1"/>
    <s v="1.04.00"/>
    <s v="FP Labor - Remote Services Ctr"/>
    <s v="Labor"/>
    <s v="CO-C"/>
    <d v="2026-02-11T00:00:00"/>
    <x v="6"/>
    <x v="33"/>
    <s v="Employee"/>
    <s v="6"/>
    <s v="ORCL IN OSSI"/>
    <s v="504526 - 96V:GSC-DB &amp; Options"/>
    <s v="09B1"/>
    <s v="Y"/>
    <s v="Y"/>
    <s v="Unrecognized"/>
    <n v="8"/>
    <s v="AED"/>
    <n v="113.9"/>
    <n v="754.44"/>
    <n v="911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33"/>
    <s v="3029631794193601"/>
    <s v="1.04.00"/>
    <s v="FP Labor - Remote Services Ctr"/>
    <s v="Labor"/>
    <s v="CO-C"/>
    <d v="2026-02-12T00:00:00"/>
    <x v="6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40062"/>
    <s v="1522781618:1"/>
    <s v="1.04.00"/>
    <s v="FP Labor - Remote Services Ctr"/>
    <s v="Labor"/>
    <s v="CO-C"/>
    <d v="2026-02-12T00:00:00"/>
    <x v="6"/>
    <x v="15"/>
    <s v="Employee"/>
    <s v="6"/>
    <s v="ORCL IN OSSI"/>
    <s v="504526 - 96V:GSC-DB &amp; Options"/>
    <s v="09B2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42502"/>
    <s v="1522916740:1"/>
    <s v="1.04.00"/>
    <s v="FP Labor - Remote Services Ctr"/>
    <s v="Labor"/>
    <s v="CO-C"/>
    <d v="2026-02-12T00:00:00"/>
    <x v="6"/>
    <x v="27"/>
    <s v="Employee"/>
    <s v="6"/>
    <s v="ORCL IN OSSI"/>
    <s v="504526 - 96V:GSC-DB &amp; Options"/>
    <s v="09B4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48362"/>
    <s v="1522831671:1"/>
    <s v="1.04.00"/>
    <s v="FP Labor - Remote Services Ctr"/>
    <s v="Labor"/>
    <s v="CO-C"/>
    <d v="2026-02-12T00:00:00"/>
    <x v="6"/>
    <x v="16"/>
    <s v="Employee"/>
    <s v="5"/>
    <s v="ORCL IN OSSI"/>
    <s v="504526 - 96V:GSC-DB &amp; Options"/>
    <s v="09B1"/>
    <s v="Y"/>
    <s v="Y"/>
    <s v="Unrecognized"/>
    <n v="8"/>
    <s v="AED"/>
    <n v="70.790000000000006"/>
    <n v="660.13"/>
    <n v="566.29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47462"/>
    <s v="1522818140:1"/>
    <s v="1.04.00"/>
    <s v="FP Labor - Remote Services Ctr"/>
    <s v="Labor"/>
    <s v="CO-C"/>
    <d v="2026-02-12T00:00:00"/>
    <x v="6"/>
    <x v="17"/>
    <s v="Employee"/>
    <s v="5"/>
    <s v="ORCL IN OSSI"/>
    <s v="504526 - 96V:GSC-DB &amp; Options"/>
    <s v="09B3"/>
    <s v="Y"/>
    <s v="Y"/>
    <s v="Unrecognized"/>
    <n v="8"/>
    <s v="AED"/>
    <n v="70.790000000000006"/>
    <n v="660.13"/>
    <n v="566.29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07553"/>
    <s v="1522743442:1"/>
    <s v="1.04.00"/>
    <s v="FP Labor - Remote Services Ctr"/>
    <s v="Labor"/>
    <s v="CO-C"/>
    <d v="2026-02-12T00:00:00"/>
    <x v="6"/>
    <x v="19"/>
    <s v="Employee"/>
    <s v="4"/>
    <s v="ORCL IN OSSI"/>
    <s v="504526 - 96V:GSC-DB &amp; Options"/>
    <s v="09B4"/>
    <s v="Y"/>
    <s v="Y"/>
    <s v="Unrecognized"/>
    <n v="8"/>
    <s v="AED"/>
    <n v="70.790000000000006"/>
    <n v="542.25"/>
    <n v="566.29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47453"/>
    <s v="1523094063:2"/>
    <s v="1.04.00"/>
    <s v="FP Labor - Remote Services Ctr"/>
    <s v="Labor"/>
    <s v="CO-C"/>
    <d v="2026-02-12T00:00:00"/>
    <x v="6"/>
    <x v="28"/>
    <s v="Employee"/>
    <s v="6"/>
    <s v="ORCL IN OSSI"/>
    <s v="504526 - 96V:GSC-DB &amp; Options"/>
    <s v="09B4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51874"/>
    <s v="1523119647:1"/>
    <s v="1.04.00"/>
    <s v="FP Labor - Remote Services Ctr"/>
    <s v="Labor"/>
    <s v="CO-C"/>
    <d v="2026-02-12T00:00:00"/>
    <x v="6"/>
    <x v="20"/>
    <s v="Employee"/>
    <s v="4"/>
    <s v="ORCL IN OSSI"/>
    <s v="504506 - 94V:GSC-eStudio"/>
    <s v="09B4"/>
    <s v="Y"/>
    <s v="Y"/>
    <s v="Unrecognized"/>
    <n v="8"/>
    <s v="AED"/>
    <n v="70.790000000000006"/>
    <n v="542.25"/>
    <n v="566.29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39123"/>
    <s v="1522781385:1"/>
    <s v="1.04.00"/>
    <s v="FP Labor - Remote Services Ctr"/>
    <s v="Labor"/>
    <s v="CO-C"/>
    <d v="2026-02-12T00:00:00"/>
    <x v="6"/>
    <x v="29"/>
    <s v="Employee"/>
    <s v="6"/>
    <s v="ORCL IN OSSI"/>
    <s v="504506 - 94V:GSC-eStudio"/>
    <s v="09B2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97794"/>
    <s v="3029619346012371"/>
    <s v="1.04.00"/>
    <s v="FP Labor - Remote Services Ctr"/>
    <s v="Labor"/>
    <s v="CO-C"/>
    <d v="2026-02-12T00:00:00"/>
    <x v="6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51551"/>
    <s v="1523115257:1"/>
    <s v="1.04.00"/>
    <s v="FP Labor - Remote Services Ctr"/>
    <s v="Labor"/>
    <s v="CO-C"/>
    <d v="2026-02-12T00:00:00"/>
    <x v="6"/>
    <x v="22"/>
    <s v="Employee"/>
    <s v="6"/>
    <s v="ORCL IN OSSI"/>
    <s v="504526 - 96V:GSC-DB &amp; Options"/>
    <s v="09B2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97755"/>
    <s v="3029625736742261"/>
    <s v="1.04.00"/>
    <s v="FP Labor - Remote Services Ctr"/>
    <s v="Labor"/>
    <s v="CO-C"/>
    <d v="2026-02-12T00:00:00"/>
    <x v="6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51545"/>
    <s v="1523366717:1"/>
    <s v="1.04.00"/>
    <s v="FP Labor - Remote Services Ctr"/>
    <s v="Labor"/>
    <s v="CO-C"/>
    <d v="2026-02-12T00:00:00"/>
    <x v="6"/>
    <x v="23"/>
    <s v="Employee"/>
    <s v="5"/>
    <s v="ORCL IN OSSI"/>
    <s v="504526 - 96V:GSC-DB &amp; Options"/>
    <s v="09B1"/>
    <s v="Y"/>
    <s v="Y"/>
    <s v="Unrecognized"/>
    <n v="8"/>
    <s v="AED"/>
    <n v="70.790000000000006"/>
    <n v="660.13"/>
    <n v="566.29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51513"/>
    <s v="1522778516:2"/>
    <s v="1.04.00"/>
    <s v="FP Labor - Remote Services Ctr"/>
    <s v="Labor"/>
    <s v="CO-C"/>
    <d v="2026-02-12T00:00:00"/>
    <x v="6"/>
    <x v="31"/>
    <s v="Employee"/>
    <s v="6"/>
    <s v="ORCL IN OSSI"/>
    <s v="504506 - 94V:GSC-eStudio"/>
    <s v="09B2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586738"/>
    <s v="3029619018759891"/>
    <s v="1.04.00"/>
    <s v="FP Labor - Remote Services Ctr"/>
    <s v="Labor"/>
    <s v="CO-C"/>
    <d v="2026-02-12T00:00:00"/>
    <x v="6"/>
    <x v="24"/>
    <s v="Billable Contractor"/>
    <m/>
    <s v="ORCL IN OSSI"/>
    <s v="504526 - 96V:GSC-DB &amp; Options"/>
    <s v="009B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43475"/>
    <s v="1522966927:1"/>
    <s v="1.04.00"/>
    <s v="FP Labor - Remote Services Ctr"/>
    <s v="Labor"/>
    <s v="CO-C"/>
    <d v="2026-02-12T00:00:00"/>
    <x v="6"/>
    <x v="25"/>
    <s v="Employee"/>
    <s v="7"/>
    <s v="ORCL IN OSSI"/>
    <s v="504506 - 94V:GSC-eStudio"/>
    <s v="009B"/>
    <s v="Y"/>
    <s v="Y"/>
    <s v="Unrecognized"/>
    <n v="8"/>
    <s v="AED"/>
    <n v="113.74"/>
    <n v="813.38"/>
    <n v="909.9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49181"/>
    <s v="1527066949:1"/>
    <s v="1.04.00"/>
    <s v="FP Labor - Remote Services Ctr"/>
    <s v="Labor"/>
    <s v="CO-C"/>
    <d v="2026-02-12T00:00:00"/>
    <x v="6"/>
    <x v="32"/>
    <s v="Employee"/>
    <s v="5"/>
    <s v="ORCL IN OSSI"/>
    <s v="504546 - 98V:GSC-PaaS"/>
    <s v="09B2"/>
    <s v="Y"/>
    <s v="Y"/>
    <s v="Unrecognized"/>
    <n v="8"/>
    <s v="AED"/>
    <n v="70.790000000000006"/>
    <n v="660.13"/>
    <n v="566.29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06454"/>
    <s v="1522871199:1"/>
    <s v="1.04.00"/>
    <s v="FP Labor - Remote Services Ctr"/>
    <s v="Labor"/>
    <s v="CO-C"/>
    <d v="2026-02-12T00:00:00"/>
    <x v="6"/>
    <x v="33"/>
    <s v="Employee"/>
    <s v="6"/>
    <s v="ORCL IN OSSI"/>
    <s v="504526 - 96V:GSC-DB &amp; Options"/>
    <s v="09B1"/>
    <s v="Y"/>
    <s v="Y"/>
    <s v="Unrecognized"/>
    <n v="8"/>
    <s v="AED"/>
    <n v="113.74"/>
    <n v="754.44"/>
    <n v="909.9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58620"/>
    <s v="1522781617:1"/>
    <s v="1.04.00"/>
    <s v="FP Labor - Remote Services Ctr"/>
    <s v="Labor"/>
    <s v="CO-C"/>
    <d v="2026-02-13T00:00:00"/>
    <x v="6"/>
    <x v="15"/>
    <s v="Employee"/>
    <s v="6"/>
    <s v="ORCL IN OSSI"/>
    <s v="504526 - 96V:GSC-DB &amp; Options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7495"/>
    <s v="1522916741:1"/>
    <s v="1.04.00"/>
    <s v="FP Labor - Remote Services Ctr"/>
    <s v="Labor"/>
    <s v="CO-C"/>
    <d v="2026-02-13T00:00:00"/>
    <x v="6"/>
    <x v="27"/>
    <s v="Employee"/>
    <s v="6"/>
    <s v="ORCL IN OSSI"/>
    <s v="504526 - 96V:GSC-DB &amp; Options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5651"/>
    <s v="1522831672:1"/>
    <s v="1.04.00"/>
    <s v="FP Labor - Remote Services Ctr"/>
    <s v="Labor"/>
    <s v="CO-C"/>
    <d v="2026-02-13T00:00:00"/>
    <x v="6"/>
    <x v="16"/>
    <s v="Employee"/>
    <s v="5"/>
    <s v="ORCL IN OSSI"/>
    <s v="504526 - 96V:GSC-DB &amp; Options"/>
    <s v="09B1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58701"/>
    <s v="1522818141:1"/>
    <s v="1.04.00"/>
    <s v="FP Labor - Remote Services Ctr"/>
    <s v="Labor"/>
    <s v="CO-C"/>
    <d v="2026-02-13T00:00:00"/>
    <x v="6"/>
    <x v="17"/>
    <s v="Employee"/>
    <s v="5"/>
    <s v="ORCL IN OSSI"/>
    <s v="504526 - 96V:GSC-DB &amp; Options"/>
    <s v="09B3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4660"/>
    <s v="1522743441:1"/>
    <s v="1.04.00"/>
    <s v="FP Labor - Remote Services Ctr"/>
    <s v="Labor"/>
    <s v="CO-C"/>
    <d v="2026-02-13T00:00:00"/>
    <x v="6"/>
    <x v="19"/>
    <s v="Employee"/>
    <s v="4"/>
    <s v="ORCL IN OSSI"/>
    <s v="504526 - 96V:GSC-DB &amp; Options"/>
    <s v="09B4"/>
    <s v="Y"/>
    <s v="Y"/>
    <s v="Unrecognized"/>
    <n v="8"/>
    <s v="AED"/>
    <n v="70.87"/>
    <n v="542.25"/>
    <n v="566.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3461"/>
    <s v="1523094064:2"/>
    <s v="1.04.00"/>
    <s v="FP Labor - Remote Services Ctr"/>
    <s v="Labor"/>
    <s v="CO-C"/>
    <d v="2026-02-13T00:00:00"/>
    <x v="6"/>
    <x v="28"/>
    <s v="Employee"/>
    <s v="6"/>
    <s v="ORCL IN OSSI"/>
    <s v="504526 - 96V:GSC-DB &amp; Options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8124"/>
    <s v="1523119648:1"/>
    <s v="1.04.00"/>
    <s v="FP Labor - Remote Services Ctr"/>
    <s v="Labor"/>
    <s v="CO-C"/>
    <d v="2026-02-13T00:00:00"/>
    <x v="6"/>
    <x v="20"/>
    <s v="Employee"/>
    <s v="4"/>
    <s v="ORCL IN OSSI"/>
    <s v="504506 - 94V:GSC-eStudio"/>
    <s v="09B4"/>
    <s v="Y"/>
    <s v="Y"/>
    <s v="Unrecognized"/>
    <n v="8"/>
    <s v="AED"/>
    <n v="70.87"/>
    <n v="542.25"/>
    <n v="566.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82544"/>
    <s v="1522785652:3"/>
    <s v="1.04.00"/>
    <s v="FP Labor - Remote Services Ctr"/>
    <s v="Labor"/>
    <s v="CO-C"/>
    <d v="2026-02-13T00:00:00"/>
    <x v="6"/>
    <x v="21"/>
    <s v="Employee"/>
    <s v="5"/>
    <s v="ORCL IN OSSI"/>
    <s v="504526 - 96V:GSC-DB &amp; Options"/>
    <s v="09B4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58574"/>
    <s v="1522781384:1"/>
    <s v="1.04.00"/>
    <s v="FP Labor - Remote Services Ctr"/>
    <s v="Labor"/>
    <s v="CO-C"/>
    <d v="2026-02-13T00:00:00"/>
    <x v="6"/>
    <x v="29"/>
    <s v="Employee"/>
    <s v="6"/>
    <s v="ORCL IN OSSI"/>
    <s v="504506 - 94V:GSC-eStudio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28355"/>
    <s v="3029619346012391"/>
    <s v="1.04.00"/>
    <s v="FP Labor - Remote Services Ctr"/>
    <s v="Labor"/>
    <s v="CO-C"/>
    <d v="2026-02-13T00:00:00"/>
    <x v="6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6035"/>
    <s v="1523115258:1"/>
    <s v="1.04.00"/>
    <s v="FP Labor - Remote Services Ctr"/>
    <s v="Labor"/>
    <s v="CO-C"/>
    <d v="2026-02-13T00:00:00"/>
    <x v="6"/>
    <x v="22"/>
    <s v="Employee"/>
    <s v="6"/>
    <s v="ORCL IN OSSI"/>
    <s v="504526 - 96V:GSC-DB &amp; Options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63075"/>
    <s v="3029631314022431"/>
    <s v="1.04.00"/>
    <s v="FP Labor - Remote Services Ctr"/>
    <s v="Labor"/>
    <s v="CO-C"/>
    <d v="2026-02-13T00:00:00"/>
    <x v="6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4089"/>
    <s v="1523366718:1"/>
    <s v="1.04.00"/>
    <s v="FP Labor - Remote Services Ctr"/>
    <s v="Labor"/>
    <s v="CO-C"/>
    <d v="2026-02-13T00:00:00"/>
    <x v="6"/>
    <x v="23"/>
    <s v="Employee"/>
    <s v="5"/>
    <s v="ORCL IN OSSI"/>
    <s v="504526 - 96V:GSC-DB &amp; Options"/>
    <s v="09B1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3933"/>
    <s v="1522778517:2"/>
    <s v="1.04.00"/>
    <s v="FP Labor - Remote Services Ctr"/>
    <s v="Labor"/>
    <s v="CO-C"/>
    <d v="2026-02-13T00:00:00"/>
    <x v="6"/>
    <x v="31"/>
    <s v="Employee"/>
    <s v="6"/>
    <s v="ORCL IN OSSI"/>
    <s v="504506 - 94V:GSC-eStudio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683214"/>
    <s v="3029619018759911"/>
    <s v="1.04.00"/>
    <s v="FP Labor - Remote Services Ctr"/>
    <s v="Labor"/>
    <s v="CO-C"/>
    <d v="2026-02-13T00:00:00"/>
    <x v="6"/>
    <x v="24"/>
    <s v="Billable Contractor"/>
    <m/>
    <s v="ORCL IN OSSI"/>
    <s v="504526 - 96V:GSC-DB &amp; Options"/>
    <s v="009B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4003"/>
    <s v="1522966928:1"/>
    <s v="1.04.00"/>
    <s v="FP Labor - Remote Services Ctr"/>
    <s v="Labor"/>
    <s v="CO-C"/>
    <d v="2026-02-13T00:00:00"/>
    <x v="6"/>
    <x v="25"/>
    <s v="Employee"/>
    <s v="7"/>
    <s v="ORCL IN OSSI"/>
    <s v="504506 - 94V:GSC-eStudio"/>
    <s v="009B"/>
    <s v="Y"/>
    <s v="Y"/>
    <s v="Unrecognized"/>
    <n v="8"/>
    <s v="AED"/>
    <n v="113.88"/>
    <n v="813.38"/>
    <n v="911.0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4535"/>
    <s v="1527066950:1"/>
    <s v="1.04.00"/>
    <s v="FP Labor - Remote Services Ctr"/>
    <s v="Labor"/>
    <s v="CO-C"/>
    <d v="2026-02-13T00:00:00"/>
    <x v="6"/>
    <x v="32"/>
    <s v="Employee"/>
    <s v="5"/>
    <s v="ORCL IN OSSI"/>
    <s v="504546 - 98V:GSC-PaaS"/>
    <s v="09B2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745298"/>
    <s v="1522871200:1"/>
    <s v="1.04.00"/>
    <s v="FP Labor - Remote Services Ctr"/>
    <s v="Labor"/>
    <s v="CO-C"/>
    <d v="2026-02-13T00:00:00"/>
    <x v="6"/>
    <x v="33"/>
    <s v="Employee"/>
    <s v="6"/>
    <s v="ORCL IN OSSI"/>
    <s v="504526 - 96V:GSC-DB &amp; Options"/>
    <s v="09B1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66"/>
    <s v="3029631794138161"/>
    <s v="1.04.00"/>
    <s v="FP Labor - Remote Services Ctr"/>
    <s v="Labor"/>
    <s v="CO-C"/>
    <d v="2026-02-15T00:00:00"/>
    <x v="7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4059"/>
    <s v="3029619076725351"/>
    <s v="1.04.00"/>
    <s v="FP Labor - Remote Services Ctr"/>
    <s v="Labor"/>
    <s v="CO-C"/>
    <d v="2026-02-16T00:00:00"/>
    <x v="7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4060"/>
    <s v="3029619309316331"/>
    <s v="1.04.00"/>
    <s v="FP Labor - Remote Services Ctr"/>
    <s v="Labor"/>
    <s v="CO-C"/>
    <d v="2026-02-16T00:00:00"/>
    <x v="7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5341"/>
    <s v="1522781775:1"/>
    <s v="1.04.00"/>
    <s v="FP Labor - Remote Services Ctr"/>
    <s v="Labor"/>
    <s v="CO-C"/>
    <d v="2026-02-16T00:00:00"/>
    <x v="7"/>
    <x v="15"/>
    <s v="Employee"/>
    <s v="6"/>
    <s v="ORCL IN OSSI"/>
    <s v="504526 - 96V:GSC-DB &amp; Options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4906"/>
    <s v="1522916755:1"/>
    <s v="1.04.00"/>
    <s v="FP Labor - Remote Services Ctr"/>
    <s v="Labor"/>
    <s v="CO-C"/>
    <d v="2026-02-16T00:00:00"/>
    <x v="7"/>
    <x v="27"/>
    <s v="Employee"/>
    <s v="6"/>
    <s v="ORCL IN OSSI"/>
    <s v="504526 - 96V:GSC-DB &amp; Options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4958"/>
    <s v="1522831707:1"/>
    <s v="1.04.00"/>
    <s v="FP Labor - Remote Services Ctr"/>
    <s v="Labor"/>
    <s v="CO-C"/>
    <d v="2026-02-16T00:00:00"/>
    <x v="7"/>
    <x v="16"/>
    <s v="Employee"/>
    <s v="5"/>
    <s v="ORCL IN OSSI"/>
    <s v="504526 - 96V:GSC-DB &amp; Options"/>
    <s v="09B1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9640"/>
    <s v="1522818235:1"/>
    <s v="1.04.00"/>
    <s v="FP Labor - Remote Services Ctr"/>
    <s v="Labor"/>
    <s v="CO-C"/>
    <d v="2026-02-16T00:00:00"/>
    <x v="7"/>
    <x v="17"/>
    <s v="Employee"/>
    <s v="5"/>
    <s v="ORCL IN OSSI"/>
    <s v="504526 - 96V:GSC-DB &amp; Options"/>
    <s v="09B3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997416"/>
    <s v="1523091815:1"/>
    <s v="1.04.00"/>
    <s v="FP Labor - Remote Services Ctr"/>
    <s v="Labor"/>
    <s v="CO-C"/>
    <d v="2026-02-16T00:00:00"/>
    <x v="7"/>
    <x v="18"/>
    <s v="Employee"/>
    <s v="5"/>
    <s v="ORCL IN OSSI"/>
    <s v="504526 - 96V:GSC-DB &amp; Options"/>
    <s v="09B1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9263"/>
    <s v="1522744961:1"/>
    <s v="1.04.00"/>
    <s v="FP Labor - Remote Services Ctr"/>
    <s v="Labor"/>
    <s v="CO-C"/>
    <d v="2026-02-16T00:00:00"/>
    <x v="7"/>
    <x v="19"/>
    <s v="Employee"/>
    <s v="4"/>
    <s v="ORCL IN OSSI"/>
    <s v="504526 - 96V:GSC-DB &amp; Options"/>
    <s v="09B4"/>
    <s v="Y"/>
    <s v="Y"/>
    <s v="Unrecognized"/>
    <n v="8"/>
    <s v="AED"/>
    <n v="70.87"/>
    <n v="542.25"/>
    <n v="566.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996837"/>
    <s v="1523094090:2"/>
    <s v="1.04.00"/>
    <s v="FP Labor - Remote Services Ctr"/>
    <s v="Labor"/>
    <s v="CO-C"/>
    <d v="2026-02-16T00:00:00"/>
    <x v="7"/>
    <x v="28"/>
    <s v="Employee"/>
    <s v="6"/>
    <s v="ORCL IN OSSI"/>
    <s v="504526 - 96V:GSC-DB &amp; Options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9244"/>
    <s v="1523119664:1"/>
    <s v="1.04.00"/>
    <s v="FP Labor - Remote Services Ctr"/>
    <s v="Labor"/>
    <s v="CO-C"/>
    <d v="2026-02-16T00:00:00"/>
    <x v="7"/>
    <x v="20"/>
    <s v="Employee"/>
    <s v="4"/>
    <s v="ORCL IN OSSI"/>
    <s v="504506 - 94V:GSC-eStudio"/>
    <s v="09B4"/>
    <s v="Y"/>
    <s v="Y"/>
    <s v="Unrecognized"/>
    <n v="8"/>
    <s v="AED"/>
    <n v="70.87"/>
    <n v="542.25"/>
    <n v="566.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4978"/>
    <s v="1522785733:1"/>
    <s v="1.04.00"/>
    <s v="FP Labor - Remote Services Ctr"/>
    <s v="Labor"/>
    <s v="CO-C"/>
    <d v="2026-02-16T00:00:00"/>
    <x v="7"/>
    <x v="21"/>
    <s v="Employee"/>
    <s v="5"/>
    <s v="ORCL IN OSSI"/>
    <s v="504526 - 96V:GSC-DB &amp; Options"/>
    <s v="09B4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0065"/>
    <s v="1522783656:1"/>
    <s v="1.04.00"/>
    <s v="FP Labor - Remote Services Ctr"/>
    <s v="Labor"/>
    <s v="CO-C"/>
    <d v="2026-02-16T00:00:00"/>
    <x v="7"/>
    <x v="29"/>
    <s v="Employee"/>
    <s v="6"/>
    <s v="ORCL IN OSSI"/>
    <s v="504506 - 94V:GSC-eStudio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3993"/>
    <s v="3029619345597801"/>
    <s v="1.04.00"/>
    <s v="FP Labor - Remote Services Ctr"/>
    <s v="Labor"/>
    <s v="CO-C"/>
    <d v="2026-02-16T00:00:00"/>
    <x v="7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3994"/>
    <s v="3029625677466001"/>
    <s v="1.04.00"/>
    <s v="FP Labor - Remote Services Ctr"/>
    <s v="Labor"/>
    <s v="CO-C"/>
    <d v="2026-02-16T00:00:00"/>
    <x v="7"/>
    <x v="13"/>
    <s v="Employee"/>
    <s v="8"/>
    <s v="ORCL EG"/>
    <s v="502416 - 3WP-EMEA Delivery Middleware - I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997459"/>
    <s v="1523115272:1"/>
    <s v="1.04.00"/>
    <s v="FP Labor - Remote Services Ctr"/>
    <s v="Labor"/>
    <s v="CO-C"/>
    <d v="2026-02-16T00:00:00"/>
    <x v="7"/>
    <x v="22"/>
    <s v="Employee"/>
    <s v="6"/>
    <s v="ORCL IN OSSI"/>
    <s v="504526 - 96V:GSC-DB &amp; Options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14062"/>
    <s v="3029625738521501"/>
    <s v="1.04.00"/>
    <s v="FP Labor - Remote Services Ctr"/>
    <s v="Labor"/>
    <s v="CO-C"/>
    <d v="2026-02-16T00:00:00"/>
    <x v="7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5002"/>
    <s v="1523366732:1"/>
    <s v="1.04.00"/>
    <s v="FP Labor - Remote Services Ctr"/>
    <s v="Labor"/>
    <s v="CO-C"/>
    <d v="2026-02-16T00:00:00"/>
    <x v="7"/>
    <x v="23"/>
    <s v="Employee"/>
    <s v="5"/>
    <s v="ORCL IN OSSI"/>
    <s v="504526 - 96V:GSC-DB &amp; Options"/>
    <s v="09B1"/>
    <s v="Y"/>
    <s v="Y"/>
    <s v="Unrecognized"/>
    <n v="8"/>
    <s v="AED"/>
    <n v="70.87"/>
    <n v="660.13"/>
    <n v="566.96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996821"/>
    <s v="1522778640:2"/>
    <s v="1.04.00"/>
    <s v="FP Labor - Remote Services Ctr"/>
    <s v="Labor"/>
    <s v="CO-C"/>
    <d v="2026-02-16T00:00:00"/>
    <x v="7"/>
    <x v="31"/>
    <s v="Employee"/>
    <s v="6"/>
    <s v="ORCL IN OSSI"/>
    <s v="504506 - 94V:GSC-eStudio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0500"/>
    <s v="3029619017947501"/>
    <s v="1.04.00"/>
    <s v="FP Labor - Remote Services Ctr"/>
    <s v="Labor"/>
    <s v="CO-C"/>
    <d v="2026-02-16T00:00:00"/>
    <x v="7"/>
    <x v="24"/>
    <s v="Billable Contractor"/>
    <m/>
    <s v="ORCL IN OSSI"/>
    <s v="504526 - 96V:GSC-DB &amp; Options"/>
    <s v="009B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3996780"/>
    <s v="1522967027:1"/>
    <s v="1.04.00"/>
    <s v="FP Labor - Remote Services Ctr"/>
    <s v="Labor"/>
    <s v="CO-C"/>
    <d v="2026-02-16T00:00:00"/>
    <x v="7"/>
    <x v="25"/>
    <s v="Employee"/>
    <s v="7"/>
    <s v="ORCL IN OSSI"/>
    <s v="504506 - 94V:GSC-eStudio"/>
    <s v="009B"/>
    <s v="Y"/>
    <s v="Y"/>
    <s v="Unrecognized"/>
    <n v="8"/>
    <s v="AED"/>
    <n v="113.88"/>
    <n v="813.38"/>
    <n v="911.0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09298"/>
    <s v="1527840634:1"/>
    <s v="1.04.00"/>
    <s v="FP Labor - Remote Services Ctr"/>
    <s v="Labor"/>
    <s v="CO-C"/>
    <d v="2026-02-16T00:00:00"/>
    <x v="7"/>
    <x v="32"/>
    <s v="Employee"/>
    <s v="5"/>
    <s v="ORCL IN OSSI"/>
    <s v="504546 - 98V:GSC-PaaS"/>
    <s v="09B2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04949"/>
    <s v="1522871240:1"/>
    <s v="1.04.00"/>
    <s v="FP Labor - Remote Services Ctr"/>
    <s v="Labor"/>
    <s v="CO-C"/>
    <d v="2026-02-16T00:00:00"/>
    <x v="7"/>
    <x v="33"/>
    <s v="Employee"/>
    <s v="6"/>
    <s v="ORCL IN OSSI"/>
    <s v="504526 - 96V:GSC-DB &amp; Options"/>
    <s v="09B1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202"/>
    <s v="3029619076725371"/>
    <s v="1.04.00"/>
    <s v="FP Labor - Remote Services Ctr"/>
    <s v="Labor"/>
    <s v="CO-C"/>
    <d v="2026-02-17T00:00:00"/>
    <x v="7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203"/>
    <s v="3029619309316351"/>
    <s v="1.04.00"/>
    <s v="FP Labor - Remote Services Ctr"/>
    <s v="Labor"/>
    <s v="CO-C"/>
    <d v="2026-02-17T00:00:00"/>
    <x v="7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6947"/>
    <s v="1522781774:1"/>
    <s v="1.04.00"/>
    <s v="FP Labor - Remote Services Ctr"/>
    <s v="Labor"/>
    <s v="CO-C"/>
    <d v="2026-02-17T00:00:00"/>
    <x v="7"/>
    <x v="15"/>
    <s v="Employee"/>
    <s v="6"/>
    <s v="ORCL IN OSSI"/>
    <s v="504526 - 96V:GSC-DB &amp; Options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6095"/>
    <s v="1522916756:1"/>
    <s v="1.04.00"/>
    <s v="FP Labor - Remote Services Ctr"/>
    <s v="Labor"/>
    <s v="CO-C"/>
    <d v="2026-02-17T00:00:00"/>
    <x v="7"/>
    <x v="27"/>
    <s v="Employee"/>
    <s v="6"/>
    <s v="ORCL IN OSSI"/>
    <s v="504526 - 96V:GSC-DB &amp; Options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4462"/>
    <s v="1522831708:1"/>
    <s v="1.04.00"/>
    <s v="FP Labor - Remote Services Ctr"/>
    <s v="Labor"/>
    <s v="CO-C"/>
    <d v="2026-02-17T00:00:00"/>
    <x v="7"/>
    <x v="16"/>
    <s v="Employee"/>
    <s v="5"/>
    <s v="ORCL IN OSSI"/>
    <s v="504526 - 96V:GSC-DB &amp; Options"/>
    <s v="09B1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7579"/>
    <s v="1522818236:1"/>
    <s v="1.04.00"/>
    <s v="FP Labor - Remote Services Ctr"/>
    <s v="Labor"/>
    <s v="CO-C"/>
    <d v="2026-02-17T00:00:00"/>
    <x v="7"/>
    <x v="17"/>
    <s v="Employee"/>
    <s v="5"/>
    <s v="ORCL IN OSSI"/>
    <s v="504526 - 96V:GSC-DB &amp; Options"/>
    <s v="09B3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4526"/>
    <s v="1523091816:1"/>
    <s v="1.04.00"/>
    <s v="FP Labor - Remote Services Ctr"/>
    <s v="Labor"/>
    <s v="CO-C"/>
    <d v="2026-02-17T00:00:00"/>
    <x v="7"/>
    <x v="18"/>
    <s v="Employee"/>
    <s v="5"/>
    <s v="ORCL IN OSSI"/>
    <s v="504526 - 96V:GSC-DB &amp; Options"/>
    <s v="09B1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6272"/>
    <s v="1522744960:1"/>
    <s v="1.04.00"/>
    <s v="FP Labor - Remote Services Ctr"/>
    <s v="Labor"/>
    <s v="CO-C"/>
    <d v="2026-02-17T00:00:00"/>
    <x v="7"/>
    <x v="19"/>
    <s v="Employee"/>
    <s v="4"/>
    <s v="ORCL IN OSSI"/>
    <s v="504526 - 96V:GSC-DB &amp; Options"/>
    <s v="09B4"/>
    <s v="Y"/>
    <s v="Y"/>
    <s v="Unrecognized"/>
    <n v="8"/>
    <s v="AED"/>
    <n v="70.87"/>
    <n v="542.25"/>
    <n v="566.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6353"/>
    <s v="1523094091:2"/>
    <s v="1.04.00"/>
    <s v="FP Labor - Remote Services Ctr"/>
    <s v="Labor"/>
    <s v="CO-C"/>
    <d v="2026-02-17T00:00:00"/>
    <x v="7"/>
    <x v="28"/>
    <s v="Employee"/>
    <s v="6"/>
    <s v="ORCL IN OSSI"/>
    <s v="504526 - 96V:GSC-DB &amp; Options"/>
    <s v="09B4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4109"/>
    <s v="1523119665:1"/>
    <s v="1.04.00"/>
    <s v="FP Labor - Remote Services Ctr"/>
    <s v="Labor"/>
    <s v="CO-C"/>
    <d v="2026-02-17T00:00:00"/>
    <x v="7"/>
    <x v="20"/>
    <s v="Employee"/>
    <s v="4"/>
    <s v="ORCL IN OSSI"/>
    <s v="504506 - 94V:GSC-eStudio"/>
    <s v="09B4"/>
    <s v="Y"/>
    <s v="Y"/>
    <s v="Unrecognized"/>
    <n v="8"/>
    <s v="AED"/>
    <n v="70.87"/>
    <n v="542.25"/>
    <n v="566.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5953"/>
    <s v="1522785734:1"/>
    <s v="1.04.00"/>
    <s v="FP Labor - Remote Services Ctr"/>
    <s v="Labor"/>
    <s v="CO-C"/>
    <d v="2026-02-17T00:00:00"/>
    <x v="7"/>
    <x v="21"/>
    <s v="Employee"/>
    <s v="5"/>
    <s v="ORCL IN OSSI"/>
    <s v="504526 - 96V:GSC-DB &amp; Options"/>
    <s v="09B4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5630"/>
    <s v="1522783655:1"/>
    <s v="1.04.00"/>
    <s v="FP Labor - Remote Services Ctr"/>
    <s v="Labor"/>
    <s v="CO-C"/>
    <d v="2026-02-17T00:00:00"/>
    <x v="7"/>
    <x v="29"/>
    <s v="Employee"/>
    <s v="6"/>
    <s v="ORCL IN OSSI"/>
    <s v="504506 - 94V:GSC-eStudio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210"/>
    <s v="3029619345597821"/>
    <s v="1.04.00"/>
    <s v="FP Labor - Remote Services Ctr"/>
    <s v="Labor"/>
    <s v="CO-C"/>
    <d v="2026-02-17T00:00:00"/>
    <x v="7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211"/>
    <s v="3029625677466021"/>
    <s v="1.04.00"/>
    <s v="FP Labor - Remote Services Ctr"/>
    <s v="Labor"/>
    <s v="CO-C"/>
    <d v="2026-02-17T00:00:00"/>
    <x v="7"/>
    <x v="13"/>
    <s v="Employee"/>
    <s v="8"/>
    <s v="ORCL EG"/>
    <s v="502416 - 3WP-EMEA Delivery Middleware - IaaS"/>
    <s v="008U"/>
    <s v="Y"/>
    <s v="Y"/>
    <s v="Unrecognized"/>
    <n v="8"/>
    <s v="AED"/>
    <n v="108.04"/>
    <n v="943.05"/>
    <n v="864.3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6708"/>
    <s v="1523115273:1"/>
    <s v="1.04.00"/>
    <s v="FP Labor - Remote Services Ctr"/>
    <s v="Labor"/>
    <s v="CO-C"/>
    <d v="2026-02-17T00:00:00"/>
    <x v="7"/>
    <x v="22"/>
    <s v="Employee"/>
    <s v="6"/>
    <s v="ORCL IN OSSI"/>
    <s v="504526 - 96V:GSC-DB &amp; Options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93213"/>
    <s v="3029625738521521"/>
    <s v="1.04.00"/>
    <s v="FP Labor - Remote Services Ctr"/>
    <s v="Labor"/>
    <s v="CO-C"/>
    <d v="2026-02-17T00:00:00"/>
    <x v="7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6817"/>
    <s v="1523366733:1"/>
    <s v="1.04.00"/>
    <s v="FP Labor - Remote Services Ctr"/>
    <s v="Labor"/>
    <s v="CO-C"/>
    <d v="2026-02-17T00:00:00"/>
    <x v="7"/>
    <x v="23"/>
    <s v="Employee"/>
    <s v="5"/>
    <s v="ORCL IN OSSI"/>
    <s v="504526 - 96V:GSC-DB &amp; Options"/>
    <s v="09B1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6795"/>
    <s v="1522778641:2"/>
    <s v="1.04.00"/>
    <s v="FP Labor - Remote Services Ctr"/>
    <s v="Labor"/>
    <s v="CO-C"/>
    <d v="2026-02-17T00:00:00"/>
    <x v="7"/>
    <x v="31"/>
    <s v="Employee"/>
    <s v="6"/>
    <s v="ORCL IN OSSI"/>
    <s v="504506 - 94V:GSC-eStudio"/>
    <s v="09B2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2255"/>
    <s v="3029619017947521"/>
    <s v="1.04.00"/>
    <s v="FP Labor - Remote Services Ctr"/>
    <s v="Labor"/>
    <s v="CO-C"/>
    <d v="2026-02-17T00:00:00"/>
    <x v="7"/>
    <x v="24"/>
    <s v="Billable Contractor"/>
    <m/>
    <s v="ORCL IN OSSI"/>
    <s v="504526 - 96V:GSC-DB &amp; Options"/>
    <s v="009B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6126"/>
    <s v="1522967028:1"/>
    <s v="1.04.00"/>
    <s v="FP Labor - Remote Services Ctr"/>
    <s v="Labor"/>
    <s v="CO-C"/>
    <d v="2026-02-17T00:00:00"/>
    <x v="7"/>
    <x v="25"/>
    <s v="Employee"/>
    <s v="7"/>
    <s v="ORCL IN OSSI"/>
    <s v="504506 - 94V:GSC-eStudio"/>
    <s v="009B"/>
    <s v="Y"/>
    <s v="Y"/>
    <s v="Unrecognized"/>
    <n v="8"/>
    <s v="AED"/>
    <n v="113.88"/>
    <n v="813.38"/>
    <n v="911.0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09365"/>
    <s v="1527840630:1"/>
    <s v="1.04.00"/>
    <s v="FP Labor - Remote Services Ctr"/>
    <s v="Labor"/>
    <s v="CO-C"/>
    <d v="2026-02-17T00:00:00"/>
    <x v="7"/>
    <x v="32"/>
    <s v="Employee"/>
    <s v="5"/>
    <s v="ORCL IN OSSI"/>
    <s v="504546 - 98V:GSC-PaaS"/>
    <s v="09B2"/>
    <s v="Y"/>
    <s v="Y"/>
    <s v="Unrecognized"/>
    <n v="8"/>
    <s v="AED"/>
    <n v="70.87"/>
    <n v="660.13"/>
    <n v="566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085299"/>
    <s v="1522871241:1"/>
    <s v="1.04.00"/>
    <s v="FP Labor - Remote Services Ctr"/>
    <s v="Labor"/>
    <s v="CO-C"/>
    <d v="2026-02-17T00:00:00"/>
    <x v="7"/>
    <x v="33"/>
    <s v="Employee"/>
    <s v="6"/>
    <s v="ORCL IN OSSI"/>
    <s v="504526 - 96V:GSC-DB &amp; Options"/>
    <s v="09B1"/>
    <s v="Y"/>
    <s v="Y"/>
    <s v="Unrecognized"/>
    <n v="8"/>
    <s v="AED"/>
    <n v="113.88"/>
    <n v="754.44"/>
    <n v="911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99143"/>
    <s v="3029631794138221"/>
    <s v="1.04.00"/>
    <s v="FP Labor - Remote Services Ctr"/>
    <s v="Labor"/>
    <s v="CO-C"/>
    <d v="2026-02-18T00:00:00"/>
    <x v="7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1286"/>
    <s v="1522781773:1"/>
    <s v="1.04.00"/>
    <s v="FP Labor - Remote Services Ctr"/>
    <s v="Labor"/>
    <s v="CO-C"/>
    <d v="2026-02-18T00:00:00"/>
    <x v="7"/>
    <x v="15"/>
    <s v="Employee"/>
    <s v="6"/>
    <s v="ORCL IN OSSI"/>
    <s v="504526 - 96V:GSC-DB &amp; Options"/>
    <s v="09B2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0924"/>
    <s v="1522916757:1"/>
    <s v="1.04.00"/>
    <s v="FP Labor - Remote Services Ctr"/>
    <s v="Labor"/>
    <s v="CO-C"/>
    <d v="2026-02-18T00:00:00"/>
    <x v="7"/>
    <x v="27"/>
    <s v="Employee"/>
    <s v="6"/>
    <s v="ORCL IN OSSI"/>
    <s v="504526 - 96V:GSC-DB &amp; Options"/>
    <s v="09B4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1694"/>
    <s v="1522831709:1"/>
    <s v="1.04.00"/>
    <s v="FP Labor - Remote Services Ctr"/>
    <s v="Labor"/>
    <s v="CO-C"/>
    <d v="2026-02-18T00:00:00"/>
    <x v="7"/>
    <x v="16"/>
    <s v="Employee"/>
    <s v="5"/>
    <s v="ORCL IN OSSI"/>
    <s v="504526 - 96V:GSC-DB &amp; Options"/>
    <s v="09B1"/>
    <s v="Y"/>
    <s v="Y"/>
    <s v="Unrecognized"/>
    <n v="8"/>
    <s v="AED"/>
    <n v="70.8"/>
    <n v="660.13"/>
    <n v="566.41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1691"/>
    <s v="1522818237:1"/>
    <s v="1.04.00"/>
    <s v="FP Labor - Remote Services Ctr"/>
    <s v="Labor"/>
    <s v="CO-C"/>
    <d v="2026-02-18T00:00:00"/>
    <x v="7"/>
    <x v="17"/>
    <s v="Employee"/>
    <s v="5"/>
    <s v="ORCL IN OSSI"/>
    <s v="504526 - 96V:GSC-DB &amp; Options"/>
    <s v="09B3"/>
    <s v="Y"/>
    <s v="Y"/>
    <s v="Unrecognized"/>
    <n v="8"/>
    <s v="AED"/>
    <n v="70.8"/>
    <n v="660.13"/>
    <n v="566.41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2184"/>
    <s v="1523091817:1"/>
    <s v="1.04.00"/>
    <s v="FP Labor - Remote Services Ctr"/>
    <s v="Labor"/>
    <s v="CO-C"/>
    <d v="2026-02-18T00:00:00"/>
    <x v="7"/>
    <x v="18"/>
    <s v="Employee"/>
    <s v="5"/>
    <s v="ORCL IN OSSI"/>
    <s v="504526 - 96V:GSC-DB &amp; Options"/>
    <s v="09B1"/>
    <s v="Y"/>
    <s v="Y"/>
    <s v="Unrecognized"/>
    <n v="8"/>
    <s v="AED"/>
    <n v="70.8"/>
    <n v="660.13"/>
    <n v="566.41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09531"/>
    <s v="1522744959:1"/>
    <s v="1.04.00"/>
    <s v="FP Labor - Remote Services Ctr"/>
    <s v="Labor"/>
    <s v="CO-C"/>
    <d v="2026-02-18T00:00:00"/>
    <x v="7"/>
    <x v="19"/>
    <s v="Employee"/>
    <s v="4"/>
    <s v="ORCL IN OSSI"/>
    <s v="504526 - 96V:GSC-DB &amp; Options"/>
    <s v="09B4"/>
    <s v="Y"/>
    <s v="Y"/>
    <s v="Unrecognized"/>
    <n v="8"/>
    <s v="AED"/>
    <n v="70.8"/>
    <n v="542.25"/>
    <n v="566.419999999999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3250"/>
    <s v="1523094092:2"/>
    <s v="1.04.00"/>
    <s v="FP Labor - Remote Services Ctr"/>
    <s v="Labor"/>
    <s v="CO-C"/>
    <d v="2026-02-18T00:00:00"/>
    <x v="7"/>
    <x v="28"/>
    <s v="Employee"/>
    <s v="6"/>
    <s v="ORCL IN OSSI"/>
    <s v="504526 - 96V:GSC-DB &amp; Options"/>
    <s v="09B4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09582"/>
    <s v="1523119666:1"/>
    <s v="1.04.00"/>
    <s v="FP Labor - Remote Services Ctr"/>
    <s v="Labor"/>
    <s v="CO-C"/>
    <d v="2026-02-18T00:00:00"/>
    <x v="7"/>
    <x v="20"/>
    <s v="Employee"/>
    <s v="4"/>
    <s v="ORCL IN OSSI"/>
    <s v="504506 - 94V:GSC-eStudio"/>
    <s v="09B4"/>
    <s v="Y"/>
    <s v="Y"/>
    <s v="Unrecognized"/>
    <n v="8"/>
    <s v="AED"/>
    <n v="70.8"/>
    <n v="542.25"/>
    <n v="566.419999999999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0115"/>
    <s v="1522785735:1"/>
    <s v="1.04.00"/>
    <s v="FP Labor - Remote Services Ctr"/>
    <s v="Labor"/>
    <s v="CO-C"/>
    <d v="2026-02-18T00:00:00"/>
    <x v="7"/>
    <x v="21"/>
    <s v="Employee"/>
    <s v="5"/>
    <s v="ORCL IN OSSI"/>
    <s v="504526 - 96V:GSC-DB &amp; Options"/>
    <s v="09B4"/>
    <s v="Y"/>
    <s v="Y"/>
    <s v="Unrecognized"/>
    <n v="8"/>
    <s v="AED"/>
    <n v="70.8"/>
    <n v="660.13"/>
    <n v="566.41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2256"/>
    <s v="1522783654:1"/>
    <s v="1.04.00"/>
    <s v="FP Labor - Remote Services Ctr"/>
    <s v="Labor"/>
    <s v="CO-C"/>
    <d v="2026-02-18T00:00:00"/>
    <x v="7"/>
    <x v="29"/>
    <s v="Employee"/>
    <s v="6"/>
    <s v="ORCL IN OSSI"/>
    <s v="504506 - 94V:GSC-eStudio"/>
    <s v="09B2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33734"/>
    <s v="3029619345597841"/>
    <s v="1.04.00"/>
    <s v="FP Labor - Remote Services Ctr"/>
    <s v="Labor"/>
    <s v="CO-C"/>
    <d v="2026-02-18T00:00:00"/>
    <x v="7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33735"/>
    <s v="3029625677466041"/>
    <s v="1.04.00"/>
    <s v="FP Labor - Remote Services Ctr"/>
    <s v="Labor"/>
    <s v="CO-C"/>
    <d v="2026-02-18T00:00:00"/>
    <x v="7"/>
    <x v="13"/>
    <s v="Employee"/>
    <s v="8"/>
    <s v="ORCL EG"/>
    <s v="502416 - 3WP-EMEA Delivery Middleware - IaaS"/>
    <s v="008U"/>
    <s v="Y"/>
    <s v="Y"/>
    <s v="Unrecognized"/>
    <n v="8"/>
    <s v="AED"/>
    <n v="107.65"/>
    <n v="943.05"/>
    <n v="861.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09313"/>
    <s v="1523115274:1"/>
    <s v="1.04.00"/>
    <s v="FP Labor - Remote Services Ctr"/>
    <s v="Labor"/>
    <s v="CO-C"/>
    <d v="2026-02-18T00:00:00"/>
    <x v="7"/>
    <x v="22"/>
    <s v="Employee"/>
    <s v="6"/>
    <s v="ORCL IN OSSI"/>
    <s v="504526 - 96V:GSC-DB &amp; Options"/>
    <s v="09B2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33661"/>
    <s v="3029625738521541"/>
    <s v="1.04.00"/>
    <s v="FP Labor - Remote Services Ctr"/>
    <s v="Labor"/>
    <s v="CO-C"/>
    <d v="2026-02-18T00:00:00"/>
    <x v="7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09360"/>
    <s v="1523366734:1"/>
    <s v="1.04.00"/>
    <s v="FP Labor - Remote Services Ctr"/>
    <s v="Labor"/>
    <s v="CO-C"/>
    <d v="2026-02-18T00:00:00"/>
    <x v="7"/>
    <x v="23"/>
    <s v="Employee"/>
    <s v="5"/>
    <s v="ORCL IN OSSI"/>
    <s v="504526 - 96V:GSC-DB &amp; Options"/>
    <s v="09B1"/>
    <s v="Y"/>
    <s v="Y"/>
    <s v="Unrecognized"/>
    <n v="8"/>
    <s v="AED"/>
    <n v="70.8"/>
    <n v="660.13"/>
    <n v="566.41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2973"/>
    <s v="1522778644:2"/>
    <s v="1.04.00"/>
    <s v="FP Labor - Remote Services Ctr"/>
    <s v="Labor"/>
    <s v="CO-C"/>
    <d v="2026-02-18T00:00:00"/>
    <x v="7"/>
    <x v="31"/>
    <s v="Employee"/>
    <s v="6"/>
    <s v="ORCL IN OSSI"/>
    <s v="504506 - 94V:GSC-eStudio"/>
    <s v="09B2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9229"/>
    <s v="3029619017947541"/>
    <s v="1.04.00"/>
    <s v="FP Labor - Remote Services Ctr"/>
    <s v="Labor"/>
    <s v="CO-C"/>
    <d v="2026-02-18T00:00:00"/>
    <x v="7"/>
    <x v="24"/>
    <s v="Billable Contractor"/>
    <m/>
    <s v="ORCL IN OSSI"/>
    <s v="504526 - 96V:GSC-DB &amp; Options"/>
    <s v="009B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2365"/>
    <s v="1522967029:1"/>
    <s v="1.04.00"/>
    <s v="FP Labor - Remote Services Ctr"/>
    <s v="Labor"/>
    <s v="CO-C"/>
    <d v="2026-02-18T00:00:00"/>
    <x v="7"/>
    <x v="25"/>
    <s v="Employee"/>
    <s v="7"/>
    <s v="ORCL IN OSSI"/>
    <s v="504506 - 94V:GSC-eStudio"/>
    <s v="009B"/>
    <s v="Y"/>
    <s v="Y"/>
    <s v="Unrecognized"/>
    <n v="8"/>
    <s v="AED"/>
    <n v="113.77"/>
    <n v="813.38"/>
    <n v="910.1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09764"/>
    <s v="1527840631:1"/>
    <s v="1.04.00"/>
    <s v="FP Labor - Remote Services Ctr"/>
    <s v="Labor"/>
    <s v="CO-C"/>
    <d v="2026-02-18T00:00:00"/>
    <x v="7"/>
    <x v="32"/>
    <s v="Employee"/>
    <s v="5"/>
    <s v="ORCL IN OSSI"/>
    <s v="504546 - 98V:GSC-PaaS"/>
    <s v="09B2"/>
    <s v="Y"/>
    <s v="Y"/>
    <s v="Unrecognized"/>
    <n v="8"/>
    <s v="AED"/>
    <n v="70.8"/>
    <n v="660.13"/>
    <n v="566.41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13197"/>
    <s v="1522871242:1"/>
    <s v="1.04.00"/>
    <s v="FP Labor - Remote Services Ctr"/>
    <s v="Labor"/>
    <s v="CO-C"/>
    <d v="2026-02-18T00:00:00"/>
    <x v="7"/>
    <x v="33"/>
    <s v="Employee"/>
    <s v="6"/>
    <s v="ORCL IN OSSI"/>
    <s v="504526 - 96V:GSC-DB &amp; Options"/>
    <s v="09B1"/>
    <s v="Y"/>
    <s v="Y"/>
    <s v="Unrecognized"/>
    <n v="8"/>
    <s v="AED"/>
    <n v="113.77"/>
    <n v="754.44"/>
    <n v="910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44066"/>
    <s v="3029631794138241"/>
    <s v="1.04.00"/>
    <s v="FP Labor - Remote Services Ctr"/>
    <s v="Labor"/>
    <s v="CO-C"/>
    <d v="2026-02-19T00:00:00"/>
    <x v="7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8670"/>
    <s v="1522781772:1"/>
    <s v="1.04.00"/>
    <s v="FP Labor - Remote Services Ctr"/>
    <s v="Labor"/>
    <s v="CO-C"/>
    <d v="2026-02-19T00:00:00"/>
    <x v="7"/>
    <x v="15"/>
    <s v="Employee"/>
    <s v="6"/>
    <s v="ORCL IN OSSI"/>
    <s v="504526 - 96V:GSC-DB &amp; Options"/>
    <s v="09B2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25964"/>
    <s v="1522916758:1"/>
    <s v="1.04.00"/>
    <s v="FP Labor - Remote Services Ctr"/>
    <s v="Labor"/>
    <s v="CO-C"/>
    <d v="2026-02-19T00:00:00"/>
    <x v="7"/>
    <x v="27"/>
    <s v="Employee"/>
    <s v="6"/>
    <s v="ORCL IN OSSI"/>
    <s v="504526 - 96V:GSC-DB &amp; Options"/>
    <s v="09B4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3010"/>
    <s v="1522831710:1"/>
    <s v="1.04.00"/>
    <s v="FP Labor - Remote Services Ctr"/>
    <s v="Labor"/>
    <s v="CO-C"/>
    <d v="2026-02-19T00:00:00"/>
    <x v="7"/>
    <x v="16"/>
    <s v="Employee"/>
    <s v="5"/>
    <s v="ORCL IN OSSI"/>
    <s v="504526 - 96V:GSC-DB &amp; Options"/>
    <s v="09B1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8352"/>
    <s v="1522818238:1"/>
    <s v="1.04.00"/>
    <s v="FP Labor - Remote Services Ctr"/>
    <s v="Labor"/>
    <s v="CO-C"/>
    <d v="2026-02-19T00:00:00"/>
    <x v="7"/>
    <x v="17"/>
    <s v="Employee"/>
    <s v="5"/>
    <s v="ORCL IN OSSI"/>
    <s v="504526 - 96V:GSC-DB &amp; Options"/>
    <s v="09B3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8264"/>
    <s v="1523091818:1"/>
    <s v="1.04.00"/>
    <s v="FP Labor - Remote Services Ctr"/>
    <s v="Labor"/>
    <s v="CO-C"/>
    <d v="2026-02-19T00:00:00"/>
    <x v="7"/>
    <x v="18"/>
    <s v="Employee"/>
    <s v="5"/>
    <s v="ORCL IN OSSI"/>
    <s v="504526 - 96V:GSC-DB &amp; Options"/>
    <s v="09B1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8263"/>
    <s v="1522744958:1"/>
    <s v="1.04.00"/>
    <s v="FP Labor - Remote Services Ctr"/>
    <s v="Labor"/>
    <s v="CO-C"/>
    <d v="2026-02-19T00:00:00"/>
    <x v="7"/>
    <x v="19"/>
    <s v="Employee"/>
    <s v="4"/>
    <s v="ORCL IN OSSI"/>
    <s v="504526 - 96V:GSC-DB &amp; Options"/>
    <s v="09B4"/>
    <s v="Y"/>
    <s v="Y"/>
    <s v="Unrecognized"/>
    <n v="8"/>
    <s v="AED"/>
    <n v="70.81"/>
    <n v="542.25"/>
    <n v="566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29863"/>
    <s v="1523094093:2"/>
    <s v="1.04.00"/>
    <s v="FP Labor - Remote Services Ctr"/>
    <s v="Labor"/>
    <s v="CO-C"/>
    <d v="2026-02-19T00:00:00"/>
    <x v="7"/>
    <x v="28"/>
    <s v="Employee"/>
    <s v="6"/>
    <s v="ORCL IN OSSI"/>
    <s v="504526 - 96V:GSC-DB &amp; Options"/>
    <s v="09B4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1779"/>
    <s v="1523119667:1"/>
    <s v="1.04.00"/>
    <s v="FP Labor - Remote Services Ctr"/>
    <s v="Labor"/>
    <s v="CO-C"/>
    <d v="2026-02-19T00:00:00"/>
    <x v="7"/>
    <x v="20"/>
    <s v="Employee"/>
    <s v="4"/>
    <s v="ORCL IN OSSI"/>
    <s v="504506 - 94V:GSC-eStudio"/>
    <s v="09B4"/>
    <s v="Y"/>
    <s v="Y"/>
    <s v="Unrecognized"/>
    <n v="8"/>
    <s v="AED"/>
    <n v="70.81"/>
    <n v="542.25"/>
    <n v="566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1706"/>
    <s v="1522785736:1"/>
    <s v="1.04.00"/>
    <s v="FP Labor - Remote Services Ctr"/>
    <s v="Labor"/>
    <s v="CO-C"/>
    <d v="2026-02-19T00:00:00"/>
    <x v="7"/>
    <x v="21"/>
    <s v="Employee"/>
    <s v="5"/>
    <s v="ORCL IN OSSI"/>
    <s v="504526 - 96V:GSC-DB &amp; Options"/>
    <s v="09B4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1925"/>
    <s v="1522783653:1"/>
    <s v="1.04.00"/>
    <s v="FP Labor - Remote Services Ctr"/>
    <s v="Labor"/>
    <s v="CO-C"/>
    <d v="2026-02-19T00:00:00"/>
    <x v="7"/>
    <x v="29"/>
    <s v="Employee"/>
    <s v="6"/>
    <s v="ORCL IN OSSI"/>
    <s v="504506 - 94V:GSC-eStudio"/>
    <s v="09B2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43983"/>
    <s v="3029626974621511"/>
    <s v="1.04.00"/>
    <s v="FP Labor - Remote Services Ctr"/>
    <s v="Labor"/>
    <s v="CO-C"/>
    <d v="2026-02-19T00:00:00"/>
    <x v="7"/>
    <x v="13"/>
    <s v="Employee"/>
    <s v="8"/>
    <s v="ORCL EG"/>
    <s v="502416 - 3WP-EMEA Delivery Middleware - IaaS"/>
    <s v="008U"/>
    <s v="Y"/>
    <s v="Y"/>
    <s v="Unrecognized"/>
    <n v="8"/>
    <s v="AED"/>
    <n v="107.67"/>
    <n v="943.05"/>
    <n v="861.3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25766"/>
    <s v="1523115275:1"/>
    <s v="1.04.00"/>
    <s v="FP Labor - Remote Services Ctr"/>
    <s v="Labor"/>
    <s v="CO-C"/>
    <d v="2026-02-19T00:00:00"/>
    <x v="7"/>
    <x v="22"/>
    <s v="Employee"/>
    <s v="6"/>
    <s v="ORCL IN OSSI"/>
    <s v="504526 - 96V:GSC-DB &amp; Options"/>
    <s v="09B2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44101"/>
    <s v="3029625738521561"/>
    <s v="1.04.00"/>
    <s v="FP Labor - Remote Services Ctr"/>
    <s v="Labor"/>
    <s v="CO-C"/>
    <d v="2026-02-19T00:00:00"/>
    <x v="7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6015"/>
    <s v="1523366735:1"/>
    <s v="1.04.00"/>
    <s v="FP Labor - Remote Services Ctr"/>
    <s v="Labor"/>
    <s v="CO-C"/>
    <d v="2026-02-19T00:00:00"/>
    <x v="7"/>
    <x v="23"/>
    <s v="Employee"/>
    <s v="5"/>
    <s v="ORCL IN OSSI"/>
    <s v="504526 - 96V:GSC-DB &amp; Options"/>
    <s v="09B1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26165"/>
    <s v="1522778642:2"/>
    <s v="1.04.00"/>
    <s v="FP Labor - Remote Services Ctr"/>
    <s v="Labor"/>
    <s v="CO-C"/>
    <d v="2026-02-19T00:00:00"/>
    <x v="7"/>
    <x v="31"/>
    <s v="Employee"/>
    <s v="6"/>
    <s v="ORCL IN OSSI"/>
    <s v="504506 - 94V:GSC-eStudio"/>
    <s v="09B2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150048"/>
    <s v="3029619017947561"/>
    <s v="1.04.00"/>
    <s v="FP Labor - Remote Services Ctr"/>
    <s v="Labor"/>
    <s v="CO-C"/>
    <d v="2026-02-19T00:00:00"/>
    <x v="7"/>
    <x v="24"/>
    <s v="Billable Contractor"/>
    <m/>
    <s v="ORCL IN OSSI"/>
    <s v="504526 - 96V:GSC-DB &amp; Options"/>
    <s v="009B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26203"/>
    <s v="1522967030:1"/>
    <s v="1.04.00"/>
    <s v="FP Labor - Remote Services Ctr"/>
    <s v="Labor"/>
    <s v="CO-C"/>
    <d v="2026-02-19T00:00:00"/>
    <x v="7"/>
    <x v="25"/>
    <s v="Employee"/>
    <s v="7"/>
    <s v="ORCL IN OSSI"/>
    <s v="504506 - 94V:GSC-eStudio"/>
    <s v="009B"/>
    <s v="Y"/>
    <s v="Y"/>
    <s v="Unrecognized"/>
    <n v="8"/>
    <s v="AED"/>
    <n v="113.78"/>
    <n v="813.38"/>
    <n v="910.2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7683"/>
    <s v="1527840632:1"/>
    <s v="1.04.00"/>
    <s v="FP Labor - Remote Services Ctr"/>
    <s v="Labor"/>
    <s v="CO-C"/>
    <d v="2026-02-19T00:00:00"/>
    <x v="7"/>
    <x v="32"/>
    <s v="Employee"/>
    <s v="5"/>
    <s v="ORCL IN OSSI"/>
    <s v="504546 - 98V:GSC-PaaS"/>
    <s v="09B2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30720"/>
    <s v="1522871243:1"/>
    <s v="1.04.00"/>
    <s v="FP Labor - Remote Services Ctr"/>
    <s v="Labor"/>
    <s v="CO-C"/>
    <d v="2026-02-19T00:00:00"/>
    <x v="7"/>
    <x v="33"/>
    <s v="Employee"/>
    <s v="6"/>
    <s v="ORCL IN OSSI"/>
    <s v="504526 - 96V:GSC-DB &amp; Options"/>
    <s v="09B1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42074"/>
    <s v="3029631797719081"/>
    <s v="1.04.00"/>
    <s v="FP Labor - Remote Services Ctr"/>
    <s v="Labor"/>
    <s v="CO-C"/>
    <d v="2026-02-20T00:00:00"/>
    <x v="7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5510"/>
    <s v="1522781771:1"/>
    <s v="1.04.00"/>
    <s v="FP Labor - Remote Services Ctr"/>
    <s v="Labor"/>
    <s v="CO-C"/>
    <d v="2026-02-20T00:00:00"/>
    <x v="7"/>
    <x v="15"/>
    <s v="Employee"/>
    <s v="6"/>
    <s v="ORCL IN OSSI"/>
    <s v="504526 - 96V:GSC-DB &amp; Options"/>
    <s v="09B2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4575"/>
    <s v="1522916759:1"/>
    <s v="1.04.00"/>
    <s v="FP Labor - Remote Services Ctr"/>
    <s v="Labor"/>
    <s v="CO-C"/>
    <d v="2026-02-20T00:00:00"/>
    <x v="7"/>
    <x v="27"/>
    <s v="Employee"/>
    <s v="6"/>
    <s v="ORCL IN OSSI"/>
    <s v="504526 - 96V:GSC-DB &amp; Options"/>
    <s v="09B4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8366"/>
    <s v="1522831711:1"/>
    <s v="1.04.00"/>
    <s v="FP Labor - Remote Services Ctr"/>
    <s v="Labor"/>
    <s v="CO-C"/>
    <d v="2026-02-20T00:00:00"/>
    <x v="7"/>
    <x v="16"/>
    <s v="Employee"/>
    <s v="5"/>
    <s v="ORCL IN OSSI"/>
    <s v="504526 - 96V:GSC-DB &amp; Options"/>
    <s v="09B1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6635"/>
    <s v="1522818239:1"/>
    <s v="1.04.00"/>
    <s v="FP Labor - Remote Services Ctr"/>
    <s v="Labor"/>
    <s v="CO-C"/>
    <d v="2026-02-20T00:00:00"/>
    <x v="7"/>
    <x v="17"/>
    <s v="Employee"/>
    <s v="5"/>
    <s v="ORCL IN OSSI"/>
    <s v="504526 - 96V:GSC-DB &amp; Options"/>
    <s v="09B3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21277"/>
    <s v="1523091819:1"/>
    <s v="1.04.00"/>
    <s v="FP Labor - Remote Services Ctr"/>
    <s v="Labor"/>
    <s v="CO-C"/>
    <d v="2026-02-20T00:00:00"/>
    <x v="7"/>
    <x v="18"/>
    <s v="Employee"/>
    <s v="5"/>
    <s v="ORCL IN OSSI"/>
    <s v="504526 - 96V:GSC-DB &amp; Options"/>
    <s v="09B1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9658"/>
    <s v="1522744957:1"/>
    <s v="1.04.00"/>
    <s v="FP Labor - Remote Services Ctr"/>
    <s v="Labor"/>
    <s v="CO-C"/>
    <d v="2026-02-20T00:00:00"/>
    <x v="7"/>
    <x v="19"/>
    <s v="Employee"/>
    <s v="4"/>
    <s v="ORCL IN OSSI"/>
    <s v="504526 - 96V:GSC-DB &amp; Options"/>
    <s v="09B4"/>
    <s v="Y"/>
    <s v="Y"/>
    <s v="Unrecognized"/>
    <n v="8"/>
    <s v="AED"/>
    <n v="70.81"/>
    <n v="542.25"/>
    <n v="566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8507"/>
    <s v="1523094094:2"/>
    <s v="1.04.00"/>
    <s v="FP Labor - Remote Services Ctr"/>
    <s v="Labor"/>
    <s v="CO-C"/>
    <d v="2026-02-20T00:00:00"/>
    <x v="7"/>
    <x v="28"/>
    <s v="Employee"/>
    <s v="6"/>
    <s v="ORCL IN OSSI"/>
    <s v="504526 - 96V:GSC-DB &amp; Options"/>
    <s v="09B4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5750"/>
    <s v="1523119668:1"/>
    <s v="1.04.00"/>
    <s v="FP Labor - Remote Services Ctr"/>
    <s v="Labor"/>
    <s v="CO-C"/>
    <d v="2026-02-20T00:00:00"/>
    <x v="7"/>
    <x v="20"/>
    <s v="Employee"/>
    <s v="4"/>
    <s v="ORCL IN OSSI"/>
    <s v="504506 - 94V:GSC-eStudio"/>
    <s v="09B4"/>
    <s v="Y"/>
    <s v="Y"/>
    <s v="Unrecognized"/>
    <n v="8"/>
    <s v="AED"/>
    <n v="70.81"/>
    <n v="542.25"/>
    <n v="566.4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21132"/>
    <s v="1522785737:1"/>
    <s v="1.04.00"/>
    <s v="FP Labor - Remote Services Ctr"/>
    <s v="Labor"/>
    <s v="CO-C"/>
    <d v="2026-02-20T00:00:00"/>
    <x v="7"/>
    <x v="21"/>
    <s v="Employee"/>
    <s v="5"/>
    <s v="ORCL IN OSSI"/>
    <s v="504526 - 96V:GSC-DB &amp; Options"/>
    <s v="09B4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2755"/>
    <s v="1522783652:1"/>
    <s v="1.04.00"/>
    <s v="FP Labor - Remote Services Ctr"/>
    <s v="Labor"/>
    <s v="CO-C"/>
    <d v="2026-02-20T00:00:00"/>
    <x v="7"/>
    <x v="29"/>
    <s v="Employee"/>
    <s v="6"/>
    <s v="ORCL IN OSSI"/>
    <s v="504506 - 94V:GSC-eStudio"/>
    <s v="09B2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41866"/>
    <s v="3029631826429121"/>
    <s v="1.04.00"/>
    <s v="FP Labor - Remote Services Ctr"/>
    <s v="Labor"/>
    <s v="CO-C"/>
    <d v="2026-02-20T00:00:00"/>
    <x v="7"/>
    <x v="13"/>
    <s v="Employee"/>
    <s v="8"/>
    <s v="ORCL EG"/>
    <s v="502416 - 3WP-EMEA Delivery Middleware - I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7743"/>
    <s v="1523115276:1"/>
    <s v="1.04.00"/>
    <s v="FP Labor - Remote Services Ctr"/>
    <s v="Labor"/>
    <s v="CO-C"/>
    <d v="2026-02-20T00:00:00"/>
    <x v="7"/>
    <x v="22"/>
    <s v="Employee"/>
    <s v="6"/>
    <s v="ORCL IN OSSI"/>
    <s v="504526 - 96V:GSC-DB &amp; Options"/>
    <s v="09B2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42076"/>
    <s v="3029631312022311"/>
    <s v="1.04.00"/>
    <s v="FP Labor - Remote Services Ctr"/>
    <s v="Labor"/>
    <s v="CO-C"/>
    <d v="2026-02-20T00:00:00"/>
    <x v="7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21640"/>
    <s v="1523366736:1"/>
    <s v="1.04.00"/>
    <s v="FP Labor - Remote Services Ctr"/>
    <s v="Labor"/>
    <s v="CO-C"/>
    <d v="2026-02-20T00:00:00"/>
    <x v="7"/>
    <x v="23"/>
    <s v="Employee"/>
    <s v="5"/>
    <s v="ORCL IN OSSI"/>
    <s v="504526 - 96V:GSC-DB &amp; Options"/>
    <s v="09B1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20279"/>
    <s v="1522778643:2"/>
    <s v="1.04.00"/>
    <s v="FP Labor - Remote Services Ctr"/>
    <s v="Labor"/>
    <s v="CO-C"/>
    <d v="2026-02-20T00:00:00"/>
    <x v="7"/>
    <x v="31"/>
    <s v="Employee"/>
    <s v="6"/>
    <s v="ORCL IN OSSI"/>
    <s v="504506 - 94V:GSC-eStudio"/>
    <s v="09B2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293029"/>
    <s v="3029619017947581"/>
    <s v="1.04.00"/>
    <s v="FP Labor - Remote Services Ctr"/>
    <s v="Labor"/>
    <s v="CO-C"/>
    <d v="2026-02-20T00:00:00"/>
    <x v="7"/>
    <x v="24"/>
    <s v="Billable Contractor"/>
    <m/>
    <s v="ORCL IN OSSI"/>
    <s v="504526 - 96V:GSC-DB &amp; Options"/>
    <s v="009B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6555"/>
    <s v="1522967031:1"/>
    <s v="1.04.00"/>
    <s v="FP Labor - Remote Services Ctr"/>
    <s v="Labor"/>
    <s v="CO-C"/>
    <d v="2026-02-20T00:00:00"/>
    <x v="7"/>
    <x v="25"/>
    <s v="Employee"/>
    <s v="7"/>
    <s v="ORCL IN OSSI"/>
    <s v="504506 - 94V:GSC-eStudio"/>
    <s v="009B"/>
    <s v="Y"/>
    <s v="Y"/>
    <s v="Unrecognized"/>
    <n v="8"/>
    <s v="AED"/>
    <n v="113.78"/>
    <n v="813.38"/>
    <n v="910.2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7336"/>
    <s v="1527840633:1"/>
    <s v="1.04.00"/>
    <s v="FP Labor - Remote Services Ctr"/>
    <s v="Labor"/>
    <s v="CO-C"/>
    <d v="2026-02-20T00:00:00"/>
    <x v="7"/>
    <x v="32"/>
    <s v="Employee"/>
    <s v="5"/>
    <s v="ORCL IN OSSI"/>
    <s v="504546 - 98V:GSC-PaaS"/>
    <s v="09B2"/>
    <s v="Y"/>
    <s v="Y"/>
    <s v="Unrecognized"/>
    <n v="8"/>
    <s v="AED"/>
    <n v="70.81"/>
    <n v="660.13"/>
    <n v="566.4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39894"/>
    <s v="1522871244:1"/>
    <s v="1.04.00"/>
    <s v="FP Labor - Remote Services Ctr"/>
    <s v="Labor"/>
    <s v="CO-C"/>
    <d v="2026-02-20T00:00:00"/>
    <x v="7"/>
    <x v="33"/>
    <s v="Employee"/>
    <s v="6"/>
    <s v="ORCL IN OSSI"/>
    <s v="504526 - 96V:GSC-DB &amp; Options"/>
    <s v="09B1"/>
    <s v="Y"/>
    <s v="Y"/>
    <s v="Unrecognized"/>
    <n v="8"/>
    <s v="AED"/>
    <n v="113.78"/>
    <n v="754.44"/>
    <n v="910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338"/>
    <s v="3029619080360641"/>
    <s v="1.04.00"/>
    <s v="FP Labor - Remote Services Ctr"/>
    <s v="Labor"/>
    <s v="CO-C"/>
    <d v="2026-02-23T00:00:00"/>
    <x v="8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279"/>
    <s v="3029619308895722"/>
    <s v="1.04.00"/>
    <s v="FP Labor - Remote Services Ctr"/>
    <s v="Labor"/>
    <s v="CO-C"/>
    <d v="2026-02-23T00:00:00"/>
    <x v="8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3585"/>
    <s v="1522781843:1"/>
    <s v="1.04.00"/>
    <s v="FP Labor - Remote Services Ctr"/>
    <s v="Labor"/>
    <s v="CO-C"/>
    <d v="2026-02-23T00:00:00"/>
    <x v="8"/>
    <x v="15"/>
    <s v="Employee"/>
    <s v="6"/>
    <s v="ORCL IN OSSI"/>
    <s v="504526 - 96V:GSC-DB &amp; Options"/>
    <s v="09B2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79005"/>
    <s v="1522916792:1"/>
    <s v="1.04.00"/>
    <s v="FP Labor - Remote Services Ctr"/>
    <s v="Labor"/>
    <s v="CO-C"/>
    <d v="2026-02-23T00:00:00"/>
    <x v="8"/>
    <x v="27"/>
    <s v="Employee"/>
    <s v="6"/>
    <s v="ORCL IN OSSI"/>
    <s v="504526 - 96V:GSC-DB &amp; Options"/>
    <s v="09B4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1576"/>
    <s v="1522831724:1"/>
    <s v="1.04.00"/>
    <s v="FP Labor - Remote Services Ctr"/>
    <s v="Labor"/>
    <s v="CO-C"/>
    <d v="2026-02-23T00:00:00"/>
    <x v="8"/>
    <x v="16"/>
    <s v="Employee"/>
    <s v="5"/>
    <s v="ORCL IN OSSI"/>
    <s v="504526 - 96V:GSC-DB &amp; Options"/>
    <s v="09B1"/>
    <s v="Y"/>
    <s v="Y"/>
    <s v="Unrecognized"/>
    <n v="8"/>
    <s v="AED"/>
    <n v="70.569999999999993"/>
    <n v="660.13"/>
    <n v="564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3207"/>
    <s v="1522818361:1"/>
    <s v="1.04.00"/>
    <s v="FP Labor - Remote Services Ctr"/>
    <s v="Labor"/>
    <s v="CO-C"/>
    <d v="2026-02-23T00:00:00"/>
    <x v="8"/>
    <x v="17"/>
    <s v="Employee"/>
    <s v="5"/>
    <s v="ORCL IN OSSI"/>
    <s v="504526 - 96V:GSC-DB &amp; Options"/>
    <s v="09B3"/>
    <s v="Y"/>
    <s v="Y"/>
    <s v="Unrecognized"/>
    <n v="8"/>
    <s v="AED"/>
    <n v="70.569999999999993"/>
    <n v="660.13"/>
    <n v="564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2956"/>
    <s v="1523091832:1"/>
    <s v="1.04.00"/>
    <s v="FP Labor - Remote Services Ctr"/>
    <s v="Labor"/>
    <s v="CO-C"/>
    <d v="2026-02-23T00:00:00"/>
    <x v="8"/>
    <x v="18"/>
    <s v="Employee"/>
    <s v="5"/>
    <s v="ORCL IN OSSI"/>
    <s v="504526 - 96V:GSC-DB &amp; Options"/>
    <s v="09B1"/>
    <s v="Y"/>
    <s v="Y"/>
    <s v="Unrecognized"/>
    <n v="8"/>
    <s v="AED"/>
    <n v="70.569999999999993"/>
    <n v="660.13"/>
    <n v="564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0080"/>
    <s v="1522745047:1"/>
    <s v="1.04.00"/>
    <s v="FP Labor - Remote Services Ctr"/>
    <s v="Labor"/>
    <s v="CO-C"/>
    <d v="2026-02-23T00:00:00"/>
    <x v="8"/>
    <x v="19"/>
    <s v="Employee"/>
    <s v="4"/>
    <s v="ORCL IN OSSI"/>
    <s v="504526 - 96V:GSC-DB &amp; Options"/>
    <s v="09B4"/>
    <s v="Y"/>
    <s v="Y"/>
    <s v="Unrecognized"/>
    <n v="8"/>
    <s v="AED"/>
    <n v="70.569999999999993"/>
    <n v="542.25"/>
    <n v="564.54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4201"/>
    <s v="1523093362:2"/>
    <s v="1.04.00"/>
    <s v="FP Labor - Remote Services Ctr"/>
    <s v="Labor"/>
    <s v="CO-C"/>
    <d v="2026-02-23T00:00:00"/>
    <x v="8"/>
    <x v="28"/>
    <s v="Employee"/>
    <s v="6"/>
    <s v="ORCL IN OSSI"/>
    <s v="504526 - 96V:GSC-DB &amp; Options"/>
    <s v="09B4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2727"/>
    <s v="1523119751:1"/>
    <s v="1.04.00"/>
    <s v="FP Labor - Remote Services Ctr"/>
    <s v="Labor"/>
    <s v="CO-C"/>
    <d v="2026-02-23T00:00:00"/>
    <x v="8"/>
    <x v="20"/>
    <s v="Employee"/>
    <s v="4"/>
    <s v="ORCL IN OSSI"/>
    <s v="504506 - 94V:GSC-eStudio"/>
    <s v="09B4"/>
    <s v="Y"/>
    <s v="Y"/>
    <s v="Unrecognized"/>
    <n v="8"/>
    <s v="AED"/>
    <n v="70.569999999999993"/>
    <n v="542.25"/>
    <n v="564.54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4204"/>
    <s v="1522785784:1"/>
    <s v="1.04.00"/>
    <s v="FP Labor - Remote Services Ctr"/>
    <s v="Labor"/>
    <s v="CO-C"/>
    <d v="2026-02-23T00:00:00"/>
    <x v="8"/>
    <x v="21"/>
    <s v="Employee"/>
    <s v="5"/>
    <s v="ORCL IN OSSI"/>
    <s v="504526 - 96V:GSC-DB &amp; Options"/>
    <s v="09B4"/>
    <s v="Y"/>
    <s v="Y"/>
    <s v="Unrecognized"/>
    <n v="8"/>
    <s v="AED"/>
    <n v="70.569999999999993"/>
    <n v="660.13"/>
    <n v="564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79877"/>
    <s v="1522783954:1"/>
    <s v="1.04.00"/>
    <s v="FP Labor - Remote Services Ctr"/>
    <s v="Labor"/>
    <s v="CO-C"/>
    <d v="2026-02-23T00:00:00"/>
    <x v="8"/>
    <x v="29"/>
    <s v="Employee"/>
    <s v="6"/>
    <s v="ORCL IN OSSI"/>
    <s v="504506 - 94V:GSC-eStudio"/>
    <s v="09B2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266"/>
    <s v="3029619346353901"/>
    <s v="1.04.00"/>
    <s v="FP Labor - Remote Services Ctr"/>
    <s v="Labor"/>
    <s v="CO-C"/>
    <d v="2026-02-23T00:00:00"/>
    <x v="8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307"/>
    <s v="3029625677550411"/>
    <s v="1.04.00"/>
    <s v="FP Labor - Remote Services Ctr"/>
    <s v="Labor"/>
    <s v="CO-C"/>
    <d v="2026-02-23T00:00:00"/>
    <x v="8"/>
    <x v="13"/>
    <s v="Employee"/>
    <s v="8"/>
    <s v="ORCL EG"/>
    <s v="502416 - 3WP-EMEA Delivery Middleware - IaaS"/>
    <s v="008U"/>
    <s v="Y"/>
    <s v="Y"/>
    <s v="Unrecognized"/>
    <n v="8"/>
    <s v="AED"/>
    <n v="106.37"/>
    <n v="943.05"/>
    <n v="850.9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79409"/>
    <s v="1523115370:1"/>
    <s v="1.04.00"/>
    <s v="FP Labor - Remote Services Ctr"/>
    <s v="Labor"/>
    <s v="CO-C"/>
    <d v="2026-02-23T00:00:00"/>
    <x v="8"/>
    <x v="22"/>
    <s v="Employee"/>
    <s v="6"/>
    <s v="ORCL IN OSSI"/>
    <s v="504526 - 96V:GSC-DB &amp; Options"/>
    <s v="09B2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374282"/>
    <s v="3029625739248731"/>
    <s v="1.04.00"/>
    <s v="FP Labor - Remote Services Ctr"/>
    <s v="Labor"/>
    <s v="CO-C"/>
    <d v="2026-02-23T00:00:00"/>
    <x v="8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59992"/>
    <s v="1523366789:1"/>
    <s v="1.04.00"/>
    <s v="FP Labor - Remote Services Ctr"/>
    <s v="Labor"/>
    <s v="CO-C"/>
    <d v="2026-02-23T00:00:00"/>
    <x v="8"/>
    <x v="23"/>
    <s v="Employee"/>
    <s v="5"/>
    <s v="ORCL IN OSSI"/>
    <s v="504526 - 96V:GSC-DB &amp; Options"/>
    <s v="09B1"/>
    <s v="Y"/>
    <s v="Y"/>
    <s v="Unrecognized"/>
    <n v="8"/>
    <s v="AED"/>
    <n v="70.569999999999993"/>
    <n v="660.13"/>
    <n v="564.54999999999995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1188"/>
    <s v="1522778979:2"/>
    <s v="1.04.00"/>
    <s v="FP Labor - Remote Services Ctr"/>
    <s v="Labor"/>
    <s v="CO-C"/>
    <d v="2026-02-23T00:00:00"/>
    <x v="8"/>
    <x v="31"/>
    <s v="Employee"/>
    <s v="6"/>
    <s v="ORCL IN OSSI"/>
    <s v="504506 - 94V:GSC-eStudio"/>
    <s v="09B2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52780"/>
    <s v="3029619019383831"/>
    <s v="1.04.00"/>
    <s v="FP Labor - Remote Services Ctr"/>
    <s v="Labor"/>
    <s v="CO-C"/>
    <d v="2026-02-23T00:00:00"/>
    <x v="8"/>
    <x v="24"/>
    <s v="Billable Contractor"/>
    <m/>
    <s v="ORCL IN OSSI"/>
    <s v="504526 - 96V:GSC-DB &amp; Options"/>
    <s v="009B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1527"/>
    <s v="1522967169:1"/>
    <s v="1.04.00"/>
    <s v="FP Labor - Remote Services Ctr"/>
    <s v="Labor"/>
    <s v="CO-C"/>
    <d v="2026-02-23T00:00:00"/>
    <x v="8"/>
    <x v="25"/>
    <s v="Employee"/>
    <s v="7"/>
    <s v="ORCL IN OSSI"/>
    <s v="504506 - 94V:GSC-eStudio"/>
    <s v="009B"/>
    <s v="Y"/>
    <s v="Y"/>
    <s v="Unrecognized"/>
    <n v="8"/>
    <s v="AED"/>
    <n v="113.39"/>
    <n v="813.38"/>
    <n v="907.1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81237"/>
    <s v="1527864069:1"/>
    <s v="1.04.00"/>
    <s v="FP Labor - Remote Services Ctr"/>
    <s v="Labor"/>
    <s v="CO-C"/>
    <d v="2026-02-23T00:00:00"/>
    <x v="8"/>
    <x v="32"/>
    <s v="Employee"/>
    <s v="5"/>
    <s v="ORCL IN OSSI"/>
    <s v="504546 - 98V:GSC-PaaS"/>
    <s v="09B2"/>
    <s v="Y"/>
    <s v="Y"/>
    <s v="Unrecognized"/>
    <n v="8"/>
    <s v="AED"/>
    <n v="70.569999999999993"/>
    <n v="660.13"/>
    <n v="564.54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579062"/>
    <s v="1522871295:1"/>
    <s v="1.04.00"/>
    <s v="FP Labor - Remote Services Ctr"/>
    <s v="Labor"/>
    <s v="CO-C"/>
    <d v="2026-02-23T00:00:00"/>
    <x v="8"/>
    <x v="33"/>
    <s v="Employee"/>
    <s v="6"/>
    <s v="ORCL IN OSSI"/>
    <s v="504526 - 96V:GSC-DB &amp; Options"/>
    <s v="09B1"/>
    <s v="Y"/>
    <s v="Y"/>
    <s v="Unrecognized"/>
    <n v="8"/>
    <s v="AED"/>
    <n v="113.39"/>
    <n v="754.44"/>
    <n v="907.1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226"/>
    <s v="3029619080360661"/>
    <s v="1.04.00"/>
    <s v="FP Labor - Remote Services Ctr"/>
    <s v="Labor"/>
    <s v="CO-C"/>
    <d v="2026-02-24T00:00:00"/>
    <x v="8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267"/>
    <s v="3029619308895742"/>
    <s v="1.04.00"/>
    <s v="FP Labor - Remote Services Ctr"/>
    <s v="Labor"/>
    <s v="CO-C"/>
    <d v="2026-02-24T00:00:00"/>
    <x v="8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2321"/>
    <s v="1522781842:1"/>
    <s v="1.04.00"/>
    <s v="FP Labor - Remote Services Ctr"/>
    <s v="Labor"/>
    <s v="CO-C"/>
    <d v="2026-02-24T00:00:00"/>
    <x v="8"/>
    <x v="15"/>
    <s v="Employee"/>
    <s v="6"/>
    <s v="ORCL IN OSSI"/>
    <s v="504526 - 96V:GSC-DB &amp; Options"/>
    <s v="09B2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0780"/>
    <s v="1522916793:1"/>
    <s v="1.04.00"/>
    <s v="FP Labor - Remote Services Ctr"/>
    <s v="Labor"/>
    <s v="CO-C"/>
    <d v="2026-02-24T00:00:00"/>
    <x v="8"/>
    <x v="27"/>
    <s v="Employee"/>
    <s v="6"/>
    <s v="ORCL IN OSSI"/>
    <s v="504526 - 96V:GSC-DB &amp; Options"/>
    <s v="09B4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5384"/>
    <s v="1522831725:1"/>
    <s v="1.04.00"/>
    <s v="FP Labor - Remote Services Ctr"/>
    <s v="Labor"/>
    <s v="CO-C"/>
    <d v="2026-02-24T00:00:00"/>
    <x v="8"/>
    <x v="16"/>
    <s v="Employee"/>
    <s v="5"/>
    <s v="ORCL IN OSSI"/>
    <s v="504526 - 96V:GSC-DB &amp; Options"/>
    <s v="09B1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5072"/>
    <s v="1522818362:1"/>
    <s v="1.04.00"/>
    <s v="FP Labor - Remote Services Ctr"/>
    <s v="Labor"/>
    <s v="CO-C"/>
    <d v="2026-02-24T00:00:00"/>
    <x v="8"/>
    <x v="17"/>
    <s v="Employee"/>
    <s v="5"/>
    <s v="ORCL IN OSSI"/>
    <s v="504526 - 96V:GSC-DB &amp; Options"/>
    <s v="09B3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3063"/>
    <s v="1523091833:1"/>
    <s v="1.04.00"/>
    <s v="FP Labor - Remote Services Ctr"/>
    <s v="Labor"/>
    <s v="CO-C"/>
    <d v="2026-02-24T00:00:00"/>
    <x v="8"/>
    <x v="18"/>
    <s v="Employee"/>
    <s v="5"/>
    <s v="ORCL IN OSSI"/>
    <s v="504526 - 96V:GSC-DB &amp; Options"/>
    <s v="09B1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5237"/>
    <s v="1522745046:1"/>
    <s v="1.04.00"/>
    <s v="FP Labor - Remote Services Ctr"/>
    <s v="Labor"/>
    <s v="CO-C"/>
    <d v="2026-02-24T00:00:00"/>
    <x v="8"/>
    <x v="19"/>
    <s v="Employee"/>
    <s v="4"/>
    <s v="ORCL IN OSSI"/>
    <s v="504526 - 96V:GSC-DB &amp; Options"/>
    <s v="09B4"/>
    <s v="Y"/>
    <s v="Y"/>
    <s v="Unrecognized"/>
    <n v="8"/>
    <s v="AED"/>
    <n v="70.650000000000006"/>
    <n v="542.25"/>
    <n v="565.19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3899"/>
    <s v="1523093363:2"/>
    <s v="1.04.00"/>
    <s v="FP Labor - Remote Services Ctr"/>
    <s v="Labor"/>
    <s v="CO-C"/>
    <d v="2026-02-24T00:00:00"/>
    <x v="8"/>
    <x v="28"/>
    <s v="Employee"/>
    <s v="6"/>
    <s v="ORCL IN OSSI"/>
    <s v="504526 - 96V:GSC-DB &amp; Options"/>
    <s v="09B4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0547"/>
    <s v="1523119752:1"/>
    <s v="1.04.00"/>
    <s v="FP Labor - Remote Services Ctr"/>
    <s v="Labor"/>
    <s v="CO-C"/>
    <d v="2026-02-24T00:00:00"/>
    <x v="8"/>
    <x v="20"/>
    <s v="Employee"/>
    <s v="4"/>
    <s v="ORCL IN OSSI"/>
    <s v="504506 - 94V:GSC-eStudio"/>
    <s v="09B4"/>
    <s v="Y"/>
    <s v="Y"/>
    <s v="Unrecognized"/>
    <n v="8"/>
    <s v="AED"/>
    <n v="70.650000000000006"/>
    <n v="542.25"/>
    <n v="565.19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43989"/>
    <s v="1522785785:1"/>
    <s v="1.04.00"/>
    <s v="FP Labor - Remote Services Ctr"/>
    <s v="Labor"/>
    <s v="CO-C"/>
    <d v="2026-02-24T00:00:00"/>
    <x v="8"/>
    <x v="21"/>
    <s v="Employee"/>
    <s v="5"/>
    <s v="ORCL IN OSSI"/>
    <s v="504526 - 96V:GSC-DB &amp; Options"/>
    <s v="09B4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49725"/>
    <s v="1522783953:1"/>
    <s v="1.04.00"/>
    <s v="FP Labor - Remote Services Ctr"/>
    <s v="Labor"/>
    <s v="CO-C"/>
    <d v="2026-02-24T00:00:00"/>
    <x v="8"/>
    <x v="29"/>
    <s v="Employee"/>
    <s v="6"/>
    <s v="ORCL IN OSSI"/>
    <s v="504506 - 94V:GSC-eStudio"/>
    <s v="09B2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255"/>
    <s v="3029619346353921"/>
    <s v="1.04.00"/>
    <s v="FP Labor - Remote Services Ctr"/>
    <s v="Labor"/>
    <s v="CO-C"/>
    <d v="2026-02-24T00:00:00"/>
    <x v="8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205"/>
    <s v="3029625677550431"/>
    <s v="1.04.00"/>
    <s v="FP Labor - Remote Services Ctr"/>
    <s v="Labor"/>
    <s v="CO-C"/>
    <d v="2026-02-24T00:00:00"/>
    <x v="8"/>
    <x v="13"/>
    <s v="Employee"/>
    <s v="8"/>
    <s v="ORCL EG"/>
    <s v="502416 - 3WP-EMEA Delivery Middleware - IaaS"/>
    <s v="008U"/>
    <s v="Y"/>
    <s v="Y"/>
    <s v="Unrecognized"/>
    <n v="8"/>
    <s v="AED"/>
    <n v="106.04"/>
    <n v="943.05"/>
    <n v="848.2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172"/>
    <s v="3029625739248751"/>
    <s v="1.04.00"/>
    <s v="FP Labor - Remote Services Ctr"/>
    <s v="Labor"/>
    <s v="CO-C"/>
    <d v="2026-02-24T00:00:00"/>
    <x v="8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3236"/>
    <s v="1523366790:1"/>
    <s v="1.04.00"/>
    <s v="FP Labor - Remote Services Ctr"/>
    <s v="Labor"/>
    <s v="CO-C"/>
    <d v="2026-02-24T00:00:00"/>
    <x v="8"/>
    <x v="23"/>
    <s v="Employee"/>
    <s v="5"/>
    <s v="ORCL IN OSSI"/>
    <s v="504526 - 96V:GSC-DB &amp; Options"/>
    <s v="09B1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1747"/>
    <s v="1522778980:2"/>
    <s v="1.04.00"/>
    <s v="FP Labor - Remote Services Ctr"/>
    <s v="Labor"/>
    <s v="CO-C"/>
    <d v="2026-02-24T00:00:00"/>
    <x v="8"/>
    <x v="31"/>
    <s v="Employee"/>
    <s v="6"/>
    <s v="ORCL IN OSSI"/>
    <s v="504506 - 94V:GSC-eStudio"/>
    <s v="09B2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32807"/>
    <s v="3029619019383851"/>
    <s v="1.04.00"/>
    <s v="FP Labor - Remote Services Ctr"/>
    <s v="Labor"/>
    <s v="CO-C"/>
    <d v="2026-02-24T00:00:00"/>
    <x v="8"/>
    <x v="24"/>
    <s v="Billable Contractor"/>
    <m/>
    <s v="ORCL IN OSSI"/>
    <s v="504526 - 96V:GSC-DB &amp; Options"/>
    <s v="009B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1752"/>
    <s v="1522967170:1"/>
    <s v="1.04.00"/>
    <s v="FP Labor - Remote Services Ctr"/>
    <s v="Labor"/>
    <s v="CO-C"/>
    <d v="2026-02-24T00:00:00"/>
    <x v="8"/>
    <x v="25"/>
    <s v="Employee"/>
    <s v="7"/>
    <s v="ORCL IN OSSI"/>
    <s v="504506 - 94V:GSC-eStudio"/>
    <s v="009B"/>
    <s v="Y"/>
    <s v="Y"/>
    <s v="Unrecognized"/>
    <n v="8"/>
    <s v="AED"/>
    <n v="113.52"/>
    <n v="813.38"/>
    <n v="908.1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54722"/>
    <s v="1527864065:1"/>
    <s v="1.04.00"/>
    <s v="FP Labor - Remote Services Ctr"/>
    <s v="Labor"/>
    <s v="CO-C"/>
    <d v="2026-02-24T00:00:00"/>
    <x v="8"/>
    <x v="32"/>
    <s v="Employee"/>
    <s v="5"/>
    <s v="ORCL IN OSSI"/>
    <s v="504546 - 98V:GSC-PaaS"/>
    <s v="09B2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44437"/>
    <s v="1522871296:1"/>
    <s v="1.04.00"/>
    <s v="FP Labor - Remote Services Ctr"/>
    <s v="Labor"/>
    <s v="CO-C"/>
    <d v="2026-02-24T00:00:00"/>
    <x v="8"/>
    <x v="33"/>
    <s v="Employee"/>
    <s v="6"/>
    <s v="ORCL IN OSSI"/>
    <s v="504526 - 96V:GSC-DB &amp; Options"/>
    <s v="09B1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9866"/>
    <s v="3029619080360682"/>
    <s v="1.04.00"/>
    <s v="FP Labor - Remote Services Ctr"/>
    <s v="Labor"/>
    <s v="CO-C"/>
    <d v="2026-02-25T00:00:00"/>
    <x v="8"/>
    <x v="26"/>
    <s v="Billable Contractor"/>
    <m/>
    <s v="ORCL EG"/>
    <s v="509485 - 73M: EMEA Business Analytics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9817"/>
    <s v="3029619308895762"/>
    <s v="1.04.00"/>
    <s v="FP Labor - Remote Services Ctr"/>
    <s v="Labor"/>
    <s v="CO-C"/>
    <d v="2026-02-25T00:00:00"/>
    <x v="8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1752"/>
    <s v="1522781841:1"/>
    <s v="1.04.00"/>
    <s v="FP Labor - Remote Services Ctr"/>
    <s v="Labor"/>
    <s v="CO-C"/>
    <d v="2026-02-25T00:00:00"/>
    <x v="8"/>
    <x v="15"/>
    <s v="Employee"/>
    <s v="6"/>
    <s v="ORCL IN OSSI"/>
    <s v="504526 - 96V:GSC-DB &amp; Options"/>
    <s v="09B2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10052"/>
    <s v="1522916794:1"/>
    <s v="1.04.00"/>
    <s v="FP Labor - Remote Services Ctr"/>
    <s v="Labor"/>
    <s v="CO-C"/>
    <d v="2026-02-25T00:00:00"/>
    <x v="8"/>
    <x v="27"/>
    <s v="Employee"/>
    <s v="6"/>
    <s v="ORCL IN OSSI"/>
    <s v="504526 - 96V:GSC-DB &amp; Options"/>
    <s v="09B4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1715"/>
    <s v="1522831726:1"/>
    <s v="1.04.00"/>
    <s v="FP Labor - Remote Services Ctr"/>
    <s v="Labor"/>
    <s v="CO-C"/>
    <d v="2026-02-25T00:00:00"/>
    <x v="8"/>
    <x v="16"/>
    <s v="Employee"/>
    <s v="5"/>
    <s v="ORCL IN OSSI"/>
    <s v="504526 - 96V:GSC-DB &amp; Options"/>
    <s v="09B1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9636"/>
    <s v="1522818363:1"/>
    <s v="1.04.00"/>
    <s v="FP Labor - Remote Services Ctr"/>
    <s v="Labor"/>
    <s v="CO-C"/>
    <d v="2026-02-25T00:00:00"/>
    <x v="8"/>
    <x v="17"/>
    <s v="Employee"/>
    <s v="5"/>
    <s v="ORCL IN OSSI"/>
    <s v="504526 - 96V:GSC-DB &amp; Options"/>
    <s v="09B3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9275"/>
    <s v="1523091834:1"/>
    <s v="1.04.00"/>
    <s v="FP Labor - Remote Services Ctr"/>
    <s v="Labor"/>
    <s v="CO-C"/>
    <d v="2026-02-25T00:00:00"/>
    <x v="8"/>
    <x v="18"/>
    <s v="Employee"/>
    <s v="5"/>
    <s v="ORCL IN OSSI"/>
    <s v="504526 - 96V:GSC-DB &amp; Options"/>
    <s v="09B1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9700"/>
    <s v="1522745045:1"/>
    <s v="1.04.00"/>
    <s v="FP Labor - Remote Services Ctr"/>
    <s v="Labor"/>
    <s v="CO-C"/>
    <d v="2026-02-25T00:00:00"/>
    <x v="8"/>
    <x v="19"/>
    <s v="Employee"/>
    <s v="4"/>
    <s v="ORCL IN OSSI"/>
    <s v="504526 - 96V:GSC-DB &amp; Options"/>
    <s v="09B4"/>
    <s v="Y"/>
    <s v="Y"/>
    <s v="Unrecognized"/>
    <n v="8"/>
    <s v="AED"/>
    <n v="70.650000000000006"/>
    <n v="542.25"/>
    <n v="565.19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8413"/>
    <s v="1523093364:2"/>
    <s v="1.04.00"/>
    <s v="FP Labor - Remote Services Ctr"/>
    <s v="Labor"/>
    <s v="CO-C"/>
    <d v="2026-02-25T00:00:00"/>
    <x v="8"/>
    <x v="28"/>
    <s v="Employee"/>
    <s v="6"/>
    <s v="ORCL IN OSSI"/>
    <s v="504526 - 96V:GSC-DB &amp; Options"/>
    <s v="09B4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1149"/>
    <s v="1523119753:1"/>
    <s v="1.04.00"/>
    <s v="FP Labor - Remote Services Ctr"/>
    <s v="Labor"/>
    <s v="CO-C"/>
    <d v="2026-02-25T00:00:00"/>
    <x v="8"/>
    <x v="20"/>
    <s v="Employee"/>
    <s v="4"/>
    <s v="ORCL IN OSSI"/>
    <s v="504506 - 94V:GSC-eStudio"/>
    <s v="09B4"/>
    <s v="Y"/>
    <s v="Y"/>
    <s v="Unrecognized"/>
    <n v="8"/>
    <s v="AED"/>
    <n v="70.650000000000006"/>
    <n v="542.25"/>
    <n v="565.19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6797"/>
    <s v="1522785786:1"/>
    <s v="1.04.00"/>
    <s v="FP Labor - Remote Services Ctr"/>
    <s v="Labor"/>
    <s v="CO-C"/>
    <d v="2026-02-25T00:00:00"/>
    <x v="8"/>
    <x v="21"/>
    <s v="Employee"/>
    <s v="5"/>
    <s v="ORCL IN OSSI"/>
    <s v="504526 - 96V:GSC-DB &amp; Options"/>
    <s v="09B4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9645"/>
    <s v="1522783952:1"/>
    <s v="1.04.00"/>
    <s v="FP Labor - Remote Services Ctr"/>
    <s v="Labor"/>
    <s v="CO-C"/>
    <d v="2026-02-25T00:00:00"/>
    <x v="8"/>
    <x v="29"/>
    <s v="Employee"/>
    <s v="6"/>
    <s v="ORCL IN OSSI"/>
    <s v="504506 - 94V:GSC-eStudio"/>
    <s v="09B2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9934"/>
    <s v="3029619346353941"/>
    <s v="1.04.00"/>
    <s v="FP Labor - Remote Services Ctr"/>
    <s v="Labor"/>
    <s v="CO-C"/>
    <d v="2026-02-25T00:00:00"/>
    <x v="8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9859"/>
    <s v="3029625677550451"/>
    <s v="1.04.00"/>
    <s v="FP Labor - Remote Services Ctr"/>
    <s v="Labor"/>
    <s v="CO-C"/>
    <d v="2026-02-25T00:00:00"/>
    <x v="8"/>
    <x v="13"/>
    <s v="Employee"/>
    <s v="8"/>
    <s v="ORCL EG"/>
    <s v="502416 - 3WP-EMEA Delivery Middleware - IaaS"/>
    <s v="008U"/>
    <s v="Y"/>
    <s v="Y"/>
    <s v="Unrecognized"/>
    <n v="8"/>
    <s v="AED"/>
    <n v="106.04"/>
    <n v="943.05"/>
    <n v="848.28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89819"/>
    <s v="3029625739248771"/>
    <s v="1.04.00"/>
    <s v="FP Labor - Remote Services Ctr"/>
    <s v="Labor"/>
    <s v="CO-C"/>
    <d v="2026-02-25T00:00:00"/>
    <x v="8"/>
    <x v="30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1501"/>
    <s v="1523366791:1"/>
    <s v="1.04.00"/>
    <s v="FP Labor - Remote Services Ctr"/>
    <s v="Labor"/>
    <s v="CO-C"/>
    <d v="2026-02-25T00:00:00"/>
    <x v="8"/>
    <x v="23"/>
    <s v="Employee"/>
    <s v="5"/>
    <s v="ORCL IN OSSI"/>
    <s v="504526 - 96V:GSC-DB &amp; Options"/>
    <s v="09B1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677066"/>
    <s v="3029619019383871"/>
    <s v="1.04.00"/>
    <s v="FP Labor - Remote Services Ctr"/>
    <s v="Labor"/>
    <s v="CO-C"/>
    <d v="2026-02-25T00:00:00"/>
    <x v="8"/>
    <x v="24"/>
    <s v="Billable Contractor"/>
    <m/>
    <s v="ORCL IN OSSI"/>
    <s v="504526 - 96V:GSC-DB &amp; Options"/>
    <s v="009B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4532"/>
    <s v="1522967171:1"/>
    <s v="1.04.00"/>
    <s v="FP Labor - Remote Services Ctr"/>
    <s v="Labor"/>
    <s v="CO-C"/>
    <d v="2026-02-25T00:00:00"/>
    <x v="8"/>
    <x v="25"/>
    <s v="Employee"/>
    <s v="7"/>
    <s v="ORCL IN OSSI"/>
    <s v="504506 - 94V:GSC-eStudio"/>
    <s v="009B"/>
    <s v="Y"/>
    <s v="Y"/>
    <s v="Unrecognized"/>
    <n v="8"/>
    <s v="AED"/>
    <n v="113.52"/>
    <n v="813.38"/>
    <n v="908.1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4843"/>
    <s v="1527864066:1"/>
    <s v="1.04.00"/>
    <s v="FP Labor - Remote Services Ctr"/>
    <s v="Labor"/>
    <s v="CO-C"/>
    <d v="2026-02-25T00:00:00"/>
    <x v="8"/>
    <x v="32"/>
    <s v="Employee"/>
    <s v="5"/>
    <s v="ORCL IN OSSI"/>
    <s v="504546 - 98V:GSC-PaaS"/>
    <s v="09B2"/>
    <s v="Y"/>
    <s v="Y"/>
    <s v="Unrecognized"/>
    <n v="8"/>
    <s v="AED"/>
    <n v="70.650000000000006"/>
    <n v="660.13"/>
    <n v="565.19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06819"/>
    <s v="1522871297:1"/>
    <s v="1.04.00"/>
    <s v="FP Labor - Remote Services Ctr"/>
    <s v="Labor"/>
    <s v="CO-C"/>
    <d v="2026-02-25T00:00:00"/>
    <x v="8"/>
    <x v="33"/>
    <s v="Employee"/>
    <s v="6"/>
    <s v="ORCL IN OSSI"/>
    <s v="504526 - 96V:GSC-DB &amp; Options"/>
    <s v="09B1"/>
    <s v="Y"/>
    <s v="Y"/>
    <s v="Unrecognized"/>
    <n v="8"/>
    <s v="AED"/>
    <n v="113.52"/>
    <n v="754.44"/>
    <n v="908.1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80709"/>
    <s v="3029619080360702"/>
    <s v="1.04.00"/>
    <s v="FP Labor - Remote Services Ctr"/>
    <s v="Labor"/>
    <s v="CO-C"/>
    <d v="2026-02-26T00:00:00"/>
    <x v="8"/>
    <x v="2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80447"/>
    <s v="3029619308895782"/>
    <s v="1.04.00"/>
    <s v="FP Labor - Remote Services Ctr"/>
    <s v="Labor"/>
    <s v="CO-C"/>
    <d v="2026-02-26T00:00:00"/>
    <x v="8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2175"/>
    <s v="1522781840:1"/>
    <s v="1.04.00"/>
    <s v="FP Labor - Remote Services Ctr"/>
    <s v="Labor"/>
    <s v="CO-C"/>
    <d v="2026-02-26T00:00:00"/>
    <x v="8"/>
    <x v="15"/>
    <s v="Employee"/>
    <s v="6"/>
    <s v="ORCL IN OSSI"/>
    <s v="504526 - 96V:GSC-DB &amp; Options"/>
    <s v="09B2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1735"/>
    <s v="1522916795:1"/>
    <s v="1.04.00"/>
    <s v="FP Labor - Remote Services Ctr"/>
    <s v="Labor"/>
    <s v="CO-C"/>
    <d v="2026-02-26T00:00:00"/>
    <x v="8"/>
    <x v="27"/>
    <s v="Employee"/>
    <s v="6"/>
    <s v="ORCL IN OSSI"/>
    <s v="504526 - 96V:GSC-DB &amp; Options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97429"/>
    <s v="1522831727:1"/>
    <s v="1.04.00"/>
    <s v="FP Labor - Remote Services Ctr"/>
    <s v="Labor"/>
    <s v="CO-C"/>
    <d v="2026-02-26T00:00:00"/>
    <x v="8"/>
    <x v="16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1730"/>
    <s v="1522818364:1"/>
    <s v="1.04.00"/>
    <s v="FP Labor - Remote Services Ctr"/>
    <s v="Labor"/>
    <s v="CO-C"/>
    <d v="2026-02-26T00:00:00"/>
    <x v="8"/>
    <x v="17"/>
    <s v="Employee"/>
    <s v="5"/>
    <s v="ORCL IN OSSI"/>
    <s v="504526 - 96V:GSC-DB &amp; Options"/>
    <s v="09B3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1385"/>
    <s v="1523091835:1"/>
    <s v="1.04.00"/>
    <s v="FP Labor - Remote Services Ctr"/>
    <s v="Labor"/>
    <s v="CO-C"/>
    <d v="2026-02-26T00:00:00"/>
    <x v="8"/>
    <x v="18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98776"/>
    <s v="1522745044:1"/>
    <s v="1.04.00"/>
    <s v="FP Labor - Remote Services Ctr"/>
    <s v="Labor"/>
    <s v="CO-C"/>
    <d v="2026-02-26T00:00:00"/>
    <x v="8"/>
    <x v="19"/>
    <s v="Employee"/>
    <s v="4"/>
    <s v="ORCL IN OSSI"/>
    <s v="504526 - 96V:GSC-DB &amp; Options"/>
    <s v="09B4"/>
    <s v="Y"/>
    <s v="Y"/>
    <s v="Unrecognized"/>
    <n v="8"/>
    <s v="AED"/>
    <n v="70.61"/>
    <n v="542.25"/>
    <n v="564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27060"/>
    <s v="1523093365:2"/>
    <s v="1.04.00"/>
    <s v="FP Labor - Remote Services Ctr"/>
    <s v="Labor"/>
    <s v="CO-C"/>
    <d v="2026-02-26T00:00:00"/>
    <x v="8"/>
    <x v="28"/>
    <s v="Employee"/>
    <s v="6"/>
    <s v="ORCL IN OSSI"/>
    <s v="504526 - 96V:GSC-DB &amp; Options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3271"/>
    <s v="1523119754:1"/>
    <s v="1.04.00"/>
    <s v="FP Labor - Remote Services Ctr"/>
    <s v="Labor"/>
    <s v="CO-C"/>
    <d v="2026-02-26T00:00:00"/>
    <x v="8"/>
    <x v="20"/>
    <s v="Employee"/>
    <s v="4"/>
    <s v="ORCL IN OSSI"/>
    <s v="504506 - 94V:GSC-eStudio"/>
    <s v="09B4"/>
    <s v="Y"/>
    <s v="Y"/>
    <s v="Unrecognized"/>
    <n v="8"/>
    <s v="AED"/>
    <n v="70.61"/>
    <n v="542.25"/>
    <n v="564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97922"/>
    <s v="1522785787:1"/>
    <s v="1.04.00"/>
    <s v="FP Labor - Remote Services Ctr"/>
    <s v="Labor"/>
    <s v="CO-C"/>
    <d v="2026-02-26T00:00:00"/>
    <x v="8"/>
    <x v="21"/>
    <s v="Employee"/>
    <s v="5"/>
    <s v="ORCL IN OSSI"/>
    <s v="504526 - 96V:GSC-DB &amp; Options"/>
    <s v="09B4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26288"/>
    <s v="1522783951:1"/>
    <s v="1.04.00"/>
    <s v="FP Labor - Remote Services Ctr"/>
    <s v="Labor"/>
    <s v="CO-C"/>
    <d v="2026-02-26T00:00:00"/>
    <x v="8"/>
    <x v="29"/>
    <s v="Employee"/>
    <s v="6"/>
    <s v="ORCL IN OSSI"/>
    <s v="504506 - 94V:GSC-eStudio"/>
    <s v="09B2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80581"/>
    <s v="3029619346353961"/>
    <s v="1.04.00"/>
    <s v="FP Labor - Remote Services Ctr"/>
    <s v="Labor"/>
    <s v="CO-C"/>
    <d v="2026-02-26T00:00:00"/>
    <x v="8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80668"/>
    <s v="3029626974623631"/>
    <s v="1.04.00"/>
    <s v="FP Labor - Remote Services Ctr"/>
    <s v="Labor"/>
    <s v="CO-C"/>
    <d v="2026-02-26T00:00:00"/>
    <x v="8"/>
    <x v="13"/>
    <s v="Employee"/>
    <s v="8"/>
    <s v="ORCL EG"/>
    <s v="502416 - 3WP-EMEA Delivery Middleware - IaaS"/>
    <s v="008U"/>
    <s v="Y"/>
    <s v="Y"/>
    <s v="Unrecognized"/>
    <n v="8"/>
    <s v="AED"/>
    <n v="105.72"/>
    <n v="943.05"/>
    <n v="845.7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80445"/>
    <s v="3029625739248791"/>
    <s v="1.04.00"/>
    <s v="FP Labor - Remote Services Ctr"/>
    <s v="Labor"/>
    <s v="CO-C"/>
    <d v="2026-02-26T00:00:00"/>
    <x v="8"/>
    <x v="30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97240"/>
    <s v="1523366792:1"/>
    <s v="1.04.00"/>
    <s v="FP Labor - Remote Services Ctr"/>
    <s v="Labor"/>
    <s v="CO-C"/>
    <d v="2026-02-26T00:00:00"/>
    <x v="8"/>
    <x v="23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58513"/>
    <s v="3029619019383891"/>
    <s v="1.04.00"/>
    <s v="FP Labor - Remote Services Ctr"/>
    <s v="Labor"/>
    <s v="CO-C"/>
    <d v="2026-02-26T00:00:00"/>
    <x v="8"/>
    <x v="24"/>
    <s v="Billable Contractor"/>
    <m/>
    <s v="ORCL IN OSSI"/>
    <s v="504526 - 96V:GSC-DB &amp; Options"/>
    <s v="009B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00254"/>
    <s v="1522967172:1"/>
    <s v="1.04.00"/>
    <s v="FP Labor - Remote Services Ctr"/>
    <s v="Labor"/>
    <s v="CO-C"/>
    <d v="2026-02-26T00:00:00"/>
    <x v="8"/>
    <x v="25"/>
    <s v="Employee"/>
    <s v="7"/>
    <s v="ORCL IN OSSI"/>
    <s v="504506 - 94V:GSC-eStudio"/>
    <s v="009B"/>
    <s v="Y"/>
    <s v="Y"/>
    <s v="Unrecognized"/>
    <n v="8"/>
    <s v="AED"/>
    <n v="113.45"/>
    <n v="813.38"/>
    <n v="907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97232"/>
    <s v="1527864067:1"/>
    <s v="1.04.00"/>
    <s v="FP Labor - Remote Services Ctr"/>
    <s v="Labor"/>
    <s v="CO-C"/>
    <d v="2026-02-26T00:00:00"/>
    <x v="8"/>
    <x v="32"/>
    <s v="Employee"/>
    <s v="5"/>
    <s v="ORCL IN OSSI"/>
    <s v="504546 - 98V:GSC-PaaS"/>
    <s v="09B2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798833"/>
    <s v="1522871298:1"/>
    <s v="1.04.00"/>
    <s v="FP Labor - Remote Services Ctr"/>
    <s v="Labor"/>
    <s v="CO-C"/>
    <d v="2026-02-26T00:00:00"/>
    <x v="8"/>
    <x v="33"/>
    <s v="Employee"/>
    <s v="6"/>
    <s v="ORCL IN OSSI"/>
    <s v="504526 - 96V:GSC-DB &amp; Options"/>
    <s v="09B1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4401"/>
    <s v="3029619080360722"/>
    <s v="1.04.00"/>
    <s v="FP Labor - Remote Services Ctr"/>
    <s v="Labor"/>
    <s v="CO-C"/>
    <d v="2026-02-27T00:00:00"/>
    <x v="8"/>
    <x v="26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4629"/>
    <s v="3029619308895802"/>
    <s v="1.04.00"/>
    <s v="FP Labor - Remote Services Ctr"/>
    <s v="Labor"/>
    <s v="CO-C"/>
    <d v="2026-02-27T00:00:00"/>
    <x v="8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7340"/>
    <s v="1522781839:1"/>
    <s v="1.04.00"/>
    <s v="FP Labor - Remote Services Ctr"/>
    <s v="Labor"/>
    <s v="CO-C"/>
    <d v="2026-02-27T00:00:00"/>
    <x v="8"/>
    <x v="15"/>
    <s v="Employee"/>
    <s v="6"/>
    <s v="ORCL IN OSSI"/>
    <s v="504526 - 96V:GSC-DB &amp; Options"/>
    <s v="09B2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1864"/>
    <s v="1522916796:1"/>
    <s v="1.04.00"/>
    <s v="FP Labor - Remote Services Ctr"/>
    <s v="Labor"/>
    <s v="CO-C"/>
    <d v="2026-02-27T00:00:00"/>
    <x v="8"/>
    <x v="27"/>
    <s v="Employee"/>
    <s v="6"/>
    <s v="ORCL IN OSSI"/>
    <s v="504526 - 96V:GSC-DB &amp; Options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4160"/>
    <s v="1522831728:1"/>
    <s v="1.04.00"/>
    <s v="FP Labor - Remote Services Ctr"/>
    <s v="Labor"/>
    <s v="CO-C"/>
    <d v="2026-02-27T00:00:00"/>
    <x v="8"/>
    <x v="16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8884"/>
    <s v="1522818365:1"/>
    <s v="1.04.00"/>
    <s v="FP Labor - Remote Services Ctr"/>
    <s v="Labor"/>
    <s v="CO-C"/>
    <d v="2026-02-27T00:00:00"/>
    <x v="8"/>
    <x v="17"/>
    <s v="Employee"/>
    <s v="5"/>
    <s v="ORCL IN OSSI"/>
    <s v="504526 - 96V:GSC-DB &amp; Options"/>
    <s v="09B3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4165"/>
    <s v="1523091836:1"/>
    <s v="1.04.00"/>
    <s v="FP Labor - Remote Services Ctr"/>
    <s v="Labor"/>
    <s v="CO-C"/>
    <d v="2026-02-27T00:00:00"/>
    <x v="8"/>
    <x v="18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6529"/>
    <s v="1523093366:2"/>
    <s v="1.04.00"/>
    <s v="FP Labor - Remote Services Ctr"/>
    <s v="Labor"/>
    <s v="CO-C"/>
    <d v="2026-02-27T00:00:00"/>
    <x v="8"/>
    <x v="28"/>
    <s v="Employee"/>
    <s v="6"/>
    <s v="ORCL IN OSSI"/>
    <s v="504526 - 96V:GSC-DB &amp; Options"/>
    <s v="09B4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5204"/>
    <s v="1523119755:1"/>
    <s v="1.04.00"/>
    <s v="FP Labor - Remote Services Ctr"/>
    <s v="Labor"/>
    <s v="CO-C"/>
    <d v="2026-02-27T00:00:00"/>
    <x v="8"/>
    <x v="20"/>
    <s v="Employee"/>
    <s v="4"/>
    <s v="ORCL IN OSSI"/>
    <s v="504506 - 94V:GSC-eStudio"/>
    <s v="09B4"/>
    <s v="Y"/>
    <s v="Y"/>
    <s v="Unrecognized"/>
    <n v="8"/>
    <s v="AED"/>
    <n v="70.61"/>
    <n v="542.25"/>
    <n v="564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7910"/>
    <s v="1522785788:1"/>
    <s v="1.04.00"/>
    <s v="FP Labor - Remote Services Ctr"/>
    <s v="Labor"/>
    <s v="CO-C"/>
    <d v="2026-02-27T00:00:00"/>
    <x v="8"/>
    <x v="21"/>
    <s v="Employee"/>
    <s v="5"/>
    <s v="ORCL IN OSSI"/>
    <s v="504526 - 96V:GSC-DB &amp; Options"/>
    <s v="09B4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4559"/>
    <s v="1522783950:1"/>
    <s v="1.04.00"/>
    <s v="FP Labor - Remote Services Ctr"/>
    <s v="Labor"/>
    <s v="CO-C"/>
    <d v="2026-02-27T00:00:00"/>
    <x v="8"/>
    <x v="29"/>
    <s v="Employee"/>
    <s v="6"/>
    <s v="ORCL IN OSSI"/>
    <s v="504506 - 94V:GSC-eStudio"/>
    <s v="09B2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4437"/>
    <s v="3029619346353981"/>
    <s v="1.04.00"/>
    <s v="FP Labor - Remote Services Ctr"/>
    <s v="Labor"/>
    <s v="CO-C"/>
    <d v="2026-02-27T00:00:00"/>
    <x v="8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4850"/>
    <s v="3029631827413591"/>
    <s v="1.04.00"/>
    <s v="FP Labor - Remote Services Ctr"/>
    <s v="Labor"/>
    <s v="CO-C"/>
    <d v="2026-02-27T00:00:00"/>
    <x v="8"/>
    <x v="13"/>
    <s v="Employee"/>
    <s v="8"/>
    <s v="ORCL EG"/>
    <s v="502416 - 3WP-EMEA Delivery Middleware - IaaS"/>
    <s v="008U"/>
    <s v="Y"/>
    <s v="Y"/>
    <s v="Unrecognized"/>
    <n v="8"/>
    <s v="AED"/>
    <n v="105.72"/>
    <n v="943.05"/>
    <n v="845.74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4656"/>
    <s v="3029631312301221"/>
    <s v="1.04.00"/>
    <s v="FP Labor - Remote Services Ctr"/>
    <s v="Labor"/>
    <s v="CO-C"/>
    <d v="2026-02-27T00:00:00"/>
    <x v="8"/>
    <x v="30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1384"/>
    <s v="1523366793:1"/>
    <s v="1.04.00"/>
    <s v="FP Labor - Remote Services Ctr"/>
    <s v="Labor"/>
    <s v="CO-C"/>
    <d v="2026-02-27T00:00:00"/>
    <x v="8"/>
    <x v="23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888353"/>
    <s v="3029619019383911"/>
    <s v="1.04.00"/>
    <s v="FP Labor - Remote Services Ctr"/>
    <s v="Labor"/>
    <s v="CO-C"/>
    <d v="2026-02-27T00:00:00"/>
    <x v="8"/>
    <x v="24"/>
    <s v="Billable Contractor"/>
    <m/>
    <s v="ORCL IN OSSI"/>
    <s v="504526 - 96V:GSC-DB &amp; Options"/>
    <s v="009B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4361"/>
    <s v="1522967173:1"/>
    <s v="1.04.00"/>
    <s v="FP Labor - Remote Services Ctr"/>
    <s v="Labor"/>
    <s v="CO-C"/>
    <d v="2026-02-27T00:00:00"/>
    <x v="8"/>
    <x v="25"/>
    <s v="Employee"/>
    <s v="7"/>
    <s v="ORCL IN OSSI"/>
    <s v="504506 - 94V:GSC-eStudio"/>
    <s v="009B"/>
    <s v="Y"/>
    <s v="Y"/>
    <s v="Unrecognized"/>
    <n v="8"/>
    <s v="AED"/>
    <n v="113.45"/>
    <n v="813.38"/>
    <n v="907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16084"/>
    <s v="1527864068:1"/>
    <s v="1.04.00"/>
    <s v="FP Labor - Remote Services Ctr"/>
    <s v="Labor"/>
    <s v="CO-C"/>
    <d v="2026-02-27T00:00:00"/>
    <x v="8"/>
    <x v="32"/>
    <s v="Employee"/>
    <s v="5"/>
    <s v="ORCL IN OSSI"/>
    <s v="504546 - 98V:GSC-PaaS"/>
    <s v="09B2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20644"/>
    <s v="1522871299:1"/>
    <s v="1.04.00"/>
    <s v="FP Labor - Remote Services Ctr"/>
    <s v="Labor"/>
    <s v="CO-C"/>
    <d v="2026-02-27T00:00:00"/>
    <x v="8"/>
    <x v="33"/>
    <s v="Employee"/>
    <s v="6"/>
    <s v="ORCL IN OSSI"/>
    <s v="504526 - 96V:GSC-DB &amp; Options"/>
    <s v="09B1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114964"/>
    <s v="1522831757:1"/>
    <s v="1.04.00"/>
    <s v="FP Labor - Remote Services Ctr"/>
    <s v="Labor"/>
    <s v="CO-C"/>
    <d v="2026-03-02T00:00:00"/>
    <x v="9"/>
    <x v="16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4957"/>
    <s v="1530163692:1"/>
    <s v="1.04.00"/>
    <s v="FP Labor - Remote Services Ctr"/>
    <s v="Labor"/>
    <s v="CO-C"/>
    <d v="2026-03-02T00:00:00"/>
    <x v="9"/>
    <x v="17"/>
    <s v="Employee"/>
    <s v="5"/>
    <s v="ORCL IN OSSI"/>
    <s v="504526 - 96V:GSC-DB &amp; Options"/>
    <s v="09B3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130806"/>
    <s v="1523091849:1"/>
    <s v="1.04.00"/>
    <s v="FP Labor - Remote Services Ctr"/>
    <s v="Labor"/>
    <s v="CO-C"/>
    <d v="2026-03-02T00:00:00"/>
    <x v="9"/>
    <x v="18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415818"/>
    <s v="1530424902:1"/>
    <s v="1.04.00"/>
    <s v="FP Labor - Remote Services Ctr"/>
    <s v="Labor"/>
    <s v="CO-C"/>
    <d v="2026-03-02T00:00:00"/>
    <x v="9"/>
    <x v="19"/>
    <s v="Employee"/>
    <s v="4"/>
    <s v="ORCL IN OSSI"/>
    <s v="504526 - 96V:GSC-DB &amp; Options"/>
    <s v="09B4"/>
    <s v="Y"/>
    <s v="Y"/>
    <s v="Unrecognized"/>
    <n v="8"/>
    <s v="AED"/>
    <n v="70.61"/>
    <n v="542.25"/>
    <n v="564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1543"/>
    <s v="1530206688:1"/>
    <s v="1.04.00"/>
    <s v="FP Labor - Remote Services Ctr"/>
    <s v="Labor"/>
    <s v="CO-C"/>
    <d v="2026-03-02T00:00:00"/>
    <x v="9"/>
    <x v="20"/>
    <s v="Employee"/>
    <s v="4"/>
    <s v="ORCL IN OSSI"/>
    <s v="504506 - 94V:GSC-eStudio"/>
    <s v="09B4"/>
    <s v="Y"/>
    <s v="Y"/>
    <s v="Unrecognized"/>
    <n v="8"/>
    <s v="AED"/>
    <n v="70.61"/>
    <n v="542.25"/>
    <n v="564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129002"/>
    <s v="1522785837:1"/>
    <s v="1.04.00"/>
    <s v="FP Labor - Remote Services Ctr"/>
    <s v="Labor"/>
    <s v="CO-C"/>
    <d v="2026-03-02T00:00:00"/>
    <x v="9"/>
    <x v="21"/>
    <s v="Employee"/>
    <s v="5"/>
    <s v="ORCL IN OSSI"/>
    <s v="504526 - 96V:GSC-DB &amp; Options"/>
    <s v="09B4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8119"/>
    <s v="1530131083:1"/>
    <s v="1.04.00"/>
    <s v="FP Labor - Remote Services Ctr"/>
    <s v="Labor"/>
    <s v="CO-C"/>
    <d v="2026-03-02T00:00:00"/>
    <x v="9"/>
    <x v="29"/>
    <s v="Employee"/>
    <s v="6"/>
    <s v="ORCL IN OSSI"/>
    <s v="504506 - 94V:GSC-eStudio"/>
    <s v="09B2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402"/>
    <s v="3029639060047801"/>
    <s v="1.04.00"/>
    <s v="FP Labor - Remote Services Ctr"/>
    <s v="Labor"/>
    <s v="CO-C"/>
    <d v="2026-03-02T00:00:00"/>
    <x v="9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100"/>
    <s v="3029641394629652"/>
    <s v="1.04.00"/>
    <s v="FP Labor - Remote Services Ctr"/>
    <s v="Labor"/>
    <s v="CO-C"/>
    <d v="2026-03-02T00:00:00"/>
    <x v="9"/>
    <x v="2"/>
    <s v="Billable Contractor"/>
    <m/>
    <s v="ORCL EG"/>
    <s v="509485 - 73M: EMEA Business Analytics - PaaS"/>
    <s v="008U"/>
    <s v="Y"/>
    <s v="Y"/>
    <s v="Unrecognized"/>
    <n v="20"/>
    <s v="AED"/>
    <n v="59"/>
    <n v="542.25"/>
    <n v="1180"/>
    <n v="0"/>
    <n v="10844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11063"/>
    <s v="1530176913:1"/>
    <s v="1.04.00"/>
    <s v="FP Labor - Remote Services Ctr"/>
    <s v="Labor"/>
    <s v="CO-C"/>
    <d v="2026-03-02T00:00:00"/>
    <x v="9"/>
    <x v="23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4982517"/>
    <s v="3029627447425431"/>
    <s v="1.04.00"/>
    <s v="FP Labor - Remote Services Ctr"/>
    <s v="Labor"/>
    <s v="CO-C"/>
    <d v="2026-03-02T00:00:00"/>
    <x v="9"/>
    <x v="24"/>
    <s v="Billable Contractor"/>
    <m/>
    <s v="ORCL IN OSSI"/>
    <s v="504526 - 96V:GSC-DB &amp; Options"/>
    <s v="009B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7659"/>
    <s v="1530419482:1"/>
    <s v="1.04.00"/>
    <s v="FP Labor - Remote Services Ctr"/>
    <s v="Labor"/>
    <s v="CO-C"/>
    <d v="2026-03-02T00:00:00"/>
    <x v="9"/>
    <x v="25"/>
    <s v="Employee"/>
    <s v="7"/>
    <s v="ORCL IN OSSI"/>
    <s v="504506 - 94V:GSC-eStudio"/>
    <s v="009B"/>
    <s v="Y"/>
    <s v="Y"/>
    <s v="Unrecognized"/>
    <n v="8"/>
    <s v="AED"/>
    <n v="113.45"/>
    <n v="813.38"/>
    <n v="907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44363"/>
    <s v="1530048164:2"/>
    <s v="1.04.00"/>
    <s v="FP Labor - Remote Services Ctr"/>
    <s v="Labor"/>
    <s v="CO-C"/>
    <d v="2026-03-02T00:00:00"/>
    <x v="9"/>
    <x v="32"/>
    <s v="Employee"/>
    <s v="5"/>
    <s v="ORCL IN OSSI"/>
    <s v="504546 - 98V:GSC-PaaS"/>
    <s v="09B2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09655"/>
    <s v="1522831758:1"/>
    <s v="1.04.00"/>
    <s v="FP Labor - Remote Services Ctr"/>
    <s v="Labor"/>
    <s v="CO-C"/>
    <d v="2026-03-03T00:00:00"/>
    <x v="9"/>
    <x v="16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6301"/>
    <s v="1530163693:1"/>
    <s v="1.04.00"/>
    <s v="FP Labor - Remote Services Ctr"/>
    <s v="Labor"/>
    <s v="CO-C"/>
    <d v="2026-03-03T00:00:00"/>
    <x v="9"/>
    <x v="17"/>
    <s v="Employee"/>
    <s v="5"/>
    <s v="ORCL IN OSSI"/>
    <s v="504526 - 96V:GSC-DB &amp; Options"/>
    <s v="09B3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07870"/>
    <s v="1523091850:1"/>
    <s v="1.04.00"/>
    <s v="FP Labor - Remote Services Ctr"/>
    <s v="Labor"/>
    <s v="CO-C"/>
    <d v="2026-03-03T00:00:00"/>
    <x v="9"/>
    <x v="18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08440"/>
    <s v="1522785838:1"/>
    <s v="1.04.00"/>
    <s v="FP Labor - Remote Services Ctr"/>
    <s v="Labor"/>
    <s v="CO-C"/>
    <d v="2026-03-03T00:00:00"/>
    <x v="9"/>
    <x v="21"/>
    <s v="Employee"/>
    <s v="5"/>
    <s v="ORCL IN OSSI"/>
    <s v="504526 - 96V:GSC-DB &amp; Options"/>
    <s v="09B4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88827"/>
    <s v="1530131082:1"/>
    <s v="1.04.00"/>
    <s v="FP Labor - Remote Services Ctr"/>
    <s v="Labor"/>
    <s v="CO-C"/>
    <d v="2026-03-03T00:00:00"/>
    <x v="9"/>
    <x v="29"/>
    <s v="Employee"/>
    <s v="6"/>
    <s v="ORCL IN OSSI"/>
    <s v="504506 - 94V:GSC-eStudio"/>
    <s v="09B2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400"/>
    <s v="3029639060047831"/>
    <s v="1.04.00"/>
    <s v="FP Labor - Remote Services Ctr"/>
    <s v="Labor"/>
    <s v="CO-C"/>
    <d v="2026-03-03T00:00:00"/>
    <x v="9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12093"/>
    <s v="1530176914:1"/>
    <s v="1.04.00"/>
    <s v="FP Labor - Remote Services Ctr"/>
    <s v="Labor"/>
    <s v="CO-C"/>
    <d v="2026-03-03T00:00:00"/>
    <x v="9"/>
    <x v="23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194440"/>
    <s v="3029627447425451"/>
    <s v="1.04.00"/>
    <s v="FP Labor - Remote Services Ctr"/>
    <s v="Labor"/>
    <s v="CO-C"/>
    <d v="2026-03-03T00:00:00"/>
    <x v="9"/>
    <x v="24"/>
    <s v="Billable Contractor"/>
    <m/>
    <s v="ORCL IN OSSI"/>
    <s v="504526 - 96V:GSC-DB &amp; Options"/>
    <s v="009B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8510"/>
    <s v="1530419483:1"/>
    <s v="1.04.00"/>
    <s v="FP Labor - Remote Services Ctr"/>
    <s v="Labor"/>
    <s v="CO-C"/>
    <d v="2026-03-03T00:00:00"/>
    <x v="9"/>
    <x v="25"/>
    <s v="Employee"/>
    <s v="7"/>
    <s v="ORCL IN OSSI"/>
    <s v="504506 - 94V:GSC-eStudio"/>
    <s v="009B"/>
    <s v="Y"/>
    <s v="Y"/>
    <s v="Unrecognized"/>
    <n v="8"/>
    <s v="AED"/>
    <n v="113.45"/>
    <n v="813.38"/>
    <n v="907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45784"/>
    <s v="1530048161:2"/>
    <s v="1.04.00"/>
    <s v="FP Labor - Remote Services Ctr"/>
    <s v="Labor"/>
    <s v="CO-C"/>
    <d v="2026-03-03T00:00:00"/>
    <x v="9"/>
    <x v="32"/>
    <s v="Employee"/>
    <s v="5"/>
    <s v="ORCL IN OSSI"/>
    <s v="504546 - 98V:GSC-PaaS"/>
    <s v="09B2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45359"/>
    <s v="1522831759:1"/>
    <s v="1.04.00"/>
    <s v="FP Labor - Remote Services Ctr"/>
    <s v="Labor"/>
    <s v="CO-C"/>
    <d v="2026-03-04T00:00:00"/>
    <x v="9"/>
    <x v="16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44433"/>
    <s v="1523091851:1"/>
    <s v="1.04.00"/>
    <s v="FP Labor - Remote Services Ctr"/>
    <s v="Labor"/>
    <s v="CO-C"/>
    <d v="2026-03-04T00:00:00"/>
    <x v="9"/>
    <x v="18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450025"/>
    <s v="1530424901:1"/>
    <s v="1.04.00"/>
    <s v="FP Labor - Remote Services Ctr"/>
    <s v="Labor"/>
    <s v="CO-C"/>
    <d v="2026-03-04T00:00:00"/>
    <x v="9"/>
    <x v="19"/>
    <s v="Employee"/>
    <s v="4"/>
    <s v="ORCL IN OSSI"/>
    <s v="504526 - 96V:GSC-DB &amp; Options"/>
    <s v="09B4"/>
    <s v="Y"/>
    <s v="Y"/>
    <s v="Unrecognized"/>
    <n v="8"/>
    <s v="AED"/>
    <n v="70.61"/>
    <n v="542.25"/>
    <n v="564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12822"/>
    <s v="1530206687:1"/>
    <s v="1.04.00"/>
    <s v="FP Labor - Remote Services Ctr"/>
    <s v="Labor"/>
    <s v="CO-C"/>
    <d v="2026-03-04T00:00:00"/>
    <x v="9"/>
    <x v="20"/>
    <s v="Employee"/>
    <s v="4"/>
    <s v="ORCL IN OSSI"/>
    <s v="504506 - 94V:GSC-eStudio"/>
    <s v="09B4"/>
    <s v="Y"/>
    <s v="Y"/>
    <s v="Unrecognized"/>
    <n v="8"/>
    <s v="AED"/>
    <n v="70.61"/>
    <n v="542.25"/>
    <n v="564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43813"/>
    <s v="1522785839:1"/>
    <s v="1.04.00"/>
    <s v="FP Labor - Remote Services Ctr"/>
    <s v="Labor"/>
    <s v="CO-C"/>
    <d v="2026-03-04T00:00:00"/>
    <x v="9"/>
    <x v="21"/>
    <s v="Employee"/>
    <s v="5"/>
    <s v="ORCL IN OSSI"/>
    <s v="504526 - 96V:GSC-DB &amp; Options"/>
    <s v="09B4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2767"/>
    <s v="1530131081:1"/>
    <s v="1.04.00"/>
    <s v="FP Labor - Remote Services Ctr"/>
    <s v="Labor"/>
    <s v="CO-C"/>
    <d v="2026-03-04T00:00:00"/>
    <x v="9"/>
    <x v="29"/>
    <s v="Employee"/>
    <s v="6"/>
    <s v="ORCL IN OSSI"/>
    <s v="504506 - 94V:GSC-eStudio"/>
    <s v="09B2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398"/>
    <s v="3029639060047861"/>
    <s v="1.04.00"/>
    <s v="FP Labor - Remote Services Ctr"/>
    <s v="Labor"/>
    <s v="CO-C"/>
    <d v="2026-03-04T00:00:00"/>
    <x v="9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88248"/>
    <s v="1530176915:1"/>
    <s v="1.04.00"/>
    <s v="FP Labor - Remote Services Ctr"/>
    <s v="Labor"/>
    <s v="CO-C"/>
    <d v="2026-03-04T00:00:00"/>
    <x v="9"/>
    <x v="23"/>
    <s v="Employee"/>
    <s v="5"/>
    <s v="ORCL IN OSSI"/>
    <s v="504526 - 96V:GSC-DB &amp; Options"/>
    <s v="09B1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11716"/>
    <s v="1530142051:2"/>
    <s v="1.04.00"/>
    <s v="FP Labor - Remote Services Ctr"/>
    <s v="Labor"/>
    <s v="CO-C"/>
    <d v="2026-03-04T00:00:00"/>
    <x v="9"/>
    <x v="31"/>
    <s v="Employee"/>
    <s v="6"/>
    <s v="ORCL IN OSSI"/>
    <s v="504506 - 94V:GSC-eStudio"/>
    <s v="09B2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15031"/>
    <s v="3029627447425471"/>
    <s v="1.04.00"/>
    <s v="FP Labor - Remote Services Ctr"/>
    <s v="Labor"/>
    <s v="CO-C"/>
    <d v="2026-03-04T00:00:00"/>
    <x v="9"/>
    <x v="24"/>
    <s v="Billable Contractor"/>
    <m/>
    <s v="ORCL IN OSSI"/>
    <s v="504526 - 96V:GSC-DB &amp; Options"/>
    <s v="009B"/>
    <s v="Y"/>
    <s v="Y"/>
    <s v="Unrecognized"/>
    <n v="8"/>
    <s v="AED"/>
    <n v="113.45"/>
    <n v="754.44"/>
    <n v="90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7660"/>
    <s v="1530419484:1"/>
    <s v="1.04.00"/>
    <s v="FP Labor - Remote Services Ctr"/>
    <s v="Labor"/>
    <s v="CO-C"/>
    <d v="2026-03-04T00:00:00"/>
    <x v="9"/>
    <x v="25"/>
    <s v="Employee"/>
    <s v="7"/>
    <s v="ORCL IN OSSI"/>
    <s v="504506 - 94V:GSC-eStudio"/>
    <s v="009B"/>
    <s v="Y"/>
    <s v="Y"/>
    <s v="Unrecognized"/>
    <n v="8"/>
    <s v="AED"/>
    <n v="113.45"/>
    <n v="813.38"/>
    <n v="907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45537"/>
    <s v="1530048162:2"/>
    <s v="1.04.00"/>
    <s v="FP Labor - Remote Services Ctr"/>
    <s v="Labor"/>
    <s v="CO-C"/>
    <d v="2026-03-04T00:00:00"/>
    <x v="9"/>
    <x v="32"/>
    <s v="Employee"/>
    <s v="5"/>
    <s v="ORCL IN OSSI"/>
    <s v="504546 - 98V:GSC-PaaS"/>
    <s v="09B2"/>
    <s v="Y"/>
    <s v="Y"/>
    <s v="Unrecognized"/>
    <n v="8"/>
    <s v="AED"/>
    <n v="70.61"/>
    <n v="660.13"/>
    <n v="564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12577"/>
    <s v="1522831760:1"/>
    <s v="1.04.00"/>
    <s v="FP Labor - Remote Services Ctr"/>
    <s v="Labor"/>
    <s v="CO-C"/>
    <d v="2026-03-05T00:00:00"/>
    <x v="9"/>
    <x v="16"/>
    <s v="Employee"/>
    <s v="5"/>
    <s v="ORCL IN OSSI"/>
    <s v="504526 - 96V:GSC-DB &amp; Options"/>
    <s v="09B1"/>
    <s v="Y"/>
    <s v="Y"/>
    <s v="Unrecognized"/>
    <n v="8"/>
    <s v="AED"/>
    <n v="69.680000000000007"/>
    <n v="660.13"/>
    <n v="557.4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1936"/>
    <s v="1530163694:1"/>
    <s v="1.04.00"/>
    <s v="FP Labor - Remote Services Ctr"/>
    <s v="Labor"/>
    <s v="CO-C"/>
    <d v="2026-03-05T00:00:00"/>
    <x v="9"/>
    <x v="17"/>
    <s v="Employee"/>
    <s v="5"/>
    <s v="ORCL IN OSSI"/>
    <s v="504526 - 96V:GSC-DB &amp; Options"/>
    <s v="09B3"/>
    <s v="Y"/>
    <s v="Y"/>
    <s v="Unrecognized"/>
    <n v="8"/>
    <s v="AED"/>
    <n v="69.680000000000007"/>
    <n v="660.13"/>
    <n v="557.4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7419"/>
    <s v="1523091852:1"/>
    <s v="1.04.00"/>
    <s v="FP Labor - Remote Services Ctr"/>
    <s v="Labor"/>
    <s v="CO-C"/>
    <d v="2026-03-05T00:00:00"/>
    <x v="9"/>
    <x v="18"/>
    <s v="Employee"/>
    <s v="5"/>
    <s v="ORCL IN OSSI"/>
    <s v="504526 - 96V:GSC-DB &amp; Options"/>
    <s v="09B1"/>
    <s v="Y"/>
    <s v="Y"/>
    <s v="Unrecognized"/>
    <n v="8"/>
    <s v="AED"/>
    <n v="69.680000000000007"/>
    <n v="660.13"/>
    <n v="557.4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416552"/>
    <s v="1530424900:1"/>
    <s v="1.04.00"/>
    <s v="FP Labor - Remote Services Ctr"/>
    <s v="Labor"/>
    <s v="CO-C"/>
    <d v="2026-03-05T00:00:00"/>
    <x v="9"/>
    <x v="19"/>
    <s v="Employee"/>
    <s v="4"/>
    <s v="ORCL IN OSSI"/>
    <s v="504526 - 96V:GSC-DB &amp; Options"/>
    <s v="09B4"/>
    <s v="Y"/>
    <s v="Y"/>
    <s v="Unrecognized"/>
    <n v="8"/>
    <s v="AED"/>
    <n v="69.680000000000007"/>
    <n v="542.25"/>
    <n v="557.42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77377"/>
    <s v="1530206686:1"/>
    <s v="1.04.00"/>
    <s v="FP Labor - Remote Services Ctr"/>
    <s v="Labor"/>
    <s v="CO-C"/>
    <d v="2026-03-05T00:00:00"/>
    <x v="9"/>
    <x v="20"/>
    <s v="Employee"/>
    <s v="4"/>
    <s v="ORCL IN OSSI"/>
    <s v="504506 - 94V:GSC-eStudio"/>
    <s v="09B4"/>
    <s v="Y"/>
    <s v="Y"/>
    <s v="Unrecognized"/>
    <n v="8"/>
    <s v="AED"/>
    <n v="69.680000000000007"/>
    <n v="542.25"/>
    <n v="557.42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2130"/>
    <s v="1522785840:1"/>
    <s v="1.04.00"/>
    <s v="FP Labor - Remote Services Ctr"/>
    <s v="Labor"/>
    <s v="CO-C"/>
    <d v="2026-03-05T00:00:00"/>
    <x v="9"/>
    <x v="21"/>
    <s v="Employee"/>
    <s v="5"/>
    <s v="ORCL IN OSSI"/>
    <s v="504526 - 96V:GSC-DB &amp; Options"/>
    <s v="09B4"/>
    <s v="Y"/>
    <s v="Y"/>
    <s v="Unrecognized"/>
    <n v="8"/>
    <s v="AED"/>
    <n v="69.680000000000007"/>
    <n v="660.13"/>
    <n v="557.4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2019"/>
    <s v="1530131080:1"/>
    <s v="1.04.00"/>
    <s v="FP Labor - Remote Services Ctr"/>
    <s v="Labor"/>
    <s v="CO-C"/>
    <d v="2026-03-05T00:00:00"/>
    <x v="9"/>
    <x v="29"/>
    <s v="Employee"/>
    <s v="6"/>
    <s v="ORCL IN OSSI"/>
    <s v="504506 - 94V:GSC-eStudio"/>
    <s v="09B2"/>
    <s v="Y"/>
    <s v="Y"/>
    <s v="Unrecognized"/>
    <n v="8"/>
    <s v="AED"/>
    <n v="111.96"/>
    <n v="754.44"/>
    <n v="895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396"/>
    <s v="3029639060047891"/>
    <s v="1.04.00"/>
    <s v="FP Labor - Remote Services Ctr"/>
    <s v="Labor"/>
    <s v="CO-C"/>
    <d v="2026-03-05T00:00:00"/>
    <x v="9"/>
    <x v="12"/>
    <s v="Billable Contractor"/>
    <m/>
    <s v="ORCL EG"/>
    <s v="509335 - U3K-EMEA Tech Delivery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7059"/>
    <s v="1530176916:1"/>
    <s v="1.04.00"/>
    <s v="FP Labor - Remote Services Ctr"/>
    <s v="Labor"/>
    <s v="CO-C"/>
    <d v="2026-03-05T00:00:00"/>
    <x v="9"/>
    <x v="23"/>
    <s v="Employee"/>
    <s v="5"/>
    <s v="ORCL IN OSSI"/>
    <s v="504526 - 96V:GSC-DB &amp; Options"/>
    <s v="09B1"/>
    <s v="Y"/>
    <s v="Y"/>
    <s v="Unrecognized"/>
    <n v="8"/>
    <s v="AED"/>
    <n v="69.680000000000007"/>
    <n v="660.13"/>
    <n v="557.4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09625"/>
    <s v="1530142053:2"/>
    <s v="1.04.00"/>
    <s v="FP Labor - Remote Services Ctr"/>
    <s v="Labor"/>
    <s v="CO-C"/>
    <d v="2026-03-05T00:00:00"/>
    <x v="9"/>
    <x v="31"/>
    <s v="Employee"/>
    <s v="6"/>
    <s v="ORCL IN OSSI"/>
    <s v="504506 - 94V:GSC-eStudio"/>
    <s v="09B2"/>
    <s v="Y"/>
    <s v="Y"/>
    <s v="Unrecognized"/>
    <n v="8"/>
    <s v="AED"/>
    <n v="111.96"/>
    <n v="754.44"/>
    <n v="895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76771"/>
    <s v="3029627447425491"/>
    <s v="1.04.00"/>
    <s v="FP Labor - Remote Services Ctr"/>
    <s v="Labor"/>
    <s v="CO-C"/>
    <d v="2026-03-05T00:00:00"/>
    <x v="9"/>
    <x v="24"/>
    <s v="Billable Contractor"/>
    <m/>
    <s v="ORCL IN OSSI"/>
    <s v="504526 - 96V:GSC-DB &amp; Options"/>
    <s v="009B"/>
    <s v="Y"/>
    <s v="Y"/>
    <s v="Unrecognized"/>
    <n v="8"/>
    <s v="AED"/>
    <n v="111.96"/>
    <n v="754.44"/>
    <n v="895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9084"/>
    <s v="1530419485:1"/>
    <s v="1.04.00"/>
    <s v="FP Labor - Remote Services Ctr"/>
    <s v="Labor"/>
    <s v="CO-C"/>
    <d v="2026-03-05T00:00:00"/>
    <x v="9"/>
    <x v="25"/>
    <s v="Employee"/>
    <s v="7"/>
    <s v="ORCL IN OSSI"/>
    <s v="504506 - 94V:GSC-eStudio"/>
    <s v="009B"/>
    <s v="Y"/>
    <s v="Y"/>
    <s v="Unrecognized"/>
    <n v="8"/>
    <s v="AED"/>
    <n v="111.96"/>
    <n v="813.38"/>
    <n v="895.7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296342"/>
    <s v="1530048163:2"/>
    <s v="1.04.00"/>
    <s v="FP Labor - Remote Services Ctr"/>
    <s v="Labor"/>
    <s v="CO-C"/>
    <d v="2026-03-05T00:00:00"/>
    <x v="9"/>
    <x v="32"/>
    <s v="Employee"/>
    <s v="5"/>
    <s v="ORCL IN OSSI"/>
    <s v="504546 - 98V:GSC-PaaS"/>
    <s v="09B2"/>
    <s v="Y"/>
    <s v="Y"/>
    <s v="Unrecognized"/>
    <n v="8"/>
    <s v="AED"/>
    <n v="69.680000000000007"/>
    <n v="660.13"/>
    <n v="557.4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7007"/>
    <s v="1522831761:1"/>
    <s v="1.04.00"/>
    <s v="FP Labor - Remote Services Ctr"/>
    <s v="Labor"/>
    <s v="CO-C"/>
    <d v="2026-03-06T00:00:00"/>
    <x v="9"/>
    <x v="16"/>
    <s v="Employee"/>
    <s v="5"/>
    <s v="ORCL IN OSSI"/>
    <s v="504526 - 96V:GSC-DB &amp; Options"/>
    <s v="09B1"/>
    <s v="Y"/>
    <s v="Y"/>
    <s v="Unrecognized"/>
    <n v="8"/>
    <s v="AED"/>
    <n v="70.099999999999994"/>
    <n v="660.13"/>
    <n v="560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97816"/>
    <s v="1530163695:1"/>
    <s v="1.04.00"/>
    <s v="FP Labor - Remote Services Ctr"/>
    <s v="Labor"/>
    <s v="CO-C"/>
    <d v="2026-03-06T00:00:00"/>
    <x v="9"/>
    <x v="17"/>
    <s v="Employee"/>
    <s v="5"/>
    <s v="ORCL IN OSSI"/>
    <s v="504526 - 96V:GSC-DB &amp; Options"/>
    <s v="09B3"/>
    <s v="Y"/>
    <s v="Y"/>
    <s v="Unrecognized"/>
    <n v="8"/>
    <s v="AED"/>
    <n v="70.099999999999994"/>
    <n v="660.13"/>
    <n v="560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97918"/>
    <s v="1523091853:1"/>
    <s v="1.04.00"/>
    <s v="FP Labor - Remote Services Ctr"/>
    <s v="Labor"/>
    <s v="CO-C"/>
    <d v="2026-03-06T00:00:00"/>
    <x v="9"/>
    <x v="18"/>
    <s v="Employee"/>
    <s v="5"/>
    <s v="ORCL IN OSSI"/>
    <s v="504526 - 96V:GSC-DB &amp; Options"/>
    <s v="09B1"/>
    <s v="Y"/>
    <s v="Y"/>
    <s v="Unrecognized"/>
    <n v="8"/>
    <s v="AED"/>
    <n v="70.099999999999994"/>
    <n v="660.13"/>
    <n v="560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450290"/>
    <s v="1530424899:1"/>
    <s v="1.04.00"/>
    <s v="FP Labor - Remote Services Ctr"/>
    <s v="Labor"/>
    <s v="CO-C"/>
    <d v="2026-03-06T00:00:00"/>
    <x v="9"/>
    <x v="19"/>
    <s v="Employee"/>
    <s v="4"/>
    <s v="ORCL IN OSSI"/>
    <s v="504526 - 96V:GSC-DB &amp; Options"/>
    <s v="09B4"/>
    <s v="Y"/>
    <s v="Y"/>
    <s v="Unrecognized"/>
    <n v="8"/>
    <s v="AED"/>
    <n v="70.099999999999994"/>
    <n v="542.25"/>
    <n v="560.7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8491"/>
    <s v="1530206685:1"/>
    <s v="1.04.00"/>
    <s v="FP Labor - Remote Services Ctr"/>
    <s v="Labor"/>
    <s v="CO-C"/>
    <d v="2026-03-06T00:00:00"/>
    <x v="9"/>
    <x v="20"/>
    <s v="Employee"/>
    <s v="4"/>
    <s v="ORCL IN OSSI"/>
    <s v="504506 - 94V:GSC-eStudio"/>
    <s v="09B4"/>
    <s v="Y"/>
    <s v="Y"/>
    <s v="Unrecognized"/>
    <n v="8"/>
    <s v="AED"/>
    <n v="70.099999999999994"/>
    <n v="542.25"/>
    <n v="560.7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8742"/>
    <s v="1522785841:1"/>
    <s v="1.04.00"/>
    <s v="FP Labor - Remote Services Ctr"/>
    <s v="Labor"/>
    <s v="CO-C"/>
    <d v="2026-03-06T00:00:00"/>
    <x v="9"/>
    <x v="21"/>
    <s v="Employee"/>
    <s v="5"/>
    <s v="ORCL IN OSSI"/>
    <s v="504526 - 96V:GSC-DB &amp; Options"/>
    <s v="09B4"/>
    <s v="Y"/>
    <s v="Y"/>
    <s v="Unrecognized"/>
    <n v="8"/>
    <s v="AED"/>
    <n v="70.099999999999994"/>
    <n v="660.13"/>
    <n v="560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98571"/>
    <s v="1530131079:1"/>
    <s v="1.04.00"/>
    <s v="FP Labor - Remote Services Ctr"/>
    <s v="Labor"/>
    <s v="CO-C"/>
    <d v="2026-03-06T00:00:00"/>
    <x v="9"/>
    <x v="29"/>
    <s v="Employee"/>
    <s v="6"/>
    <s v="ORCL IN OSSI"/>
    <s v="504506 - 94V:GSC-eStudio"/>
    <s v="09B2"/>
    <s v="Y"/>
    <s v="Y"/>
    <s v="Unrecognized"/>
    <n v="8"/>
    <s v="AED"/>
    <n v="112.63"/>
    <n v="754.44"/>
    <n v="901.0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7967"/>
    <s v="1530176917:1"/>
    <s v="1.04.00"/>
    <s v="FP Labor - Remote Services Ctr"/>
    <s v="Labor"/>
    <s v="CO-C"/>
    <d v="2026-03-06T00:00:00"/>
    <x v="9"/>
    <x v="23"/>
    <s v="Employee"/>
    <s v="5"/>
    <s v="ORCL IN OSSI"/>
    <s v="504526 - 96V:GSC-DB &amp; Options"/>
    <s v="09B1"/>
    <s v="Y"/>
    <s v="Y"/>
    <s v="Unrecognized"/>
    <n v="8"/>
    <s v="AED"/>
    <n v="70.099999999999994"/>
    <n v="660.13"/>
    <n v="560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31371"/>
    <s v="1530142055:2"/>
    <s v="1.04.00"/>
    <s v="FP Labor - Remote Services Ctr"/>
    <s v="Labor"/>
    <s v="CO-C"/>
    <d v="2026-03-06T00:00:00"/>
    <x v="9"/>
    <x v="31"/>
    <s v="Employee"/>
    <s v="6"/>
    <s v="ORCL IN OSSI"/>
    <s v="504506 - 94V:GSC-eStudio"/>
    <s v="09B2"/>
    <s v="Y"/>
    <s v="Y"/>
    <s v="Unrecognized"/>
    <n v="8"/>
    <s v="AED"/>
    <n v="112.63"/>
    <n v="754.44"/>
    <n v="901.0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326886"/>
    <s v="3029627447425511"/>
    <s v="1.04.00"/>
    <s v="FP Labor - Remote Services Ctr"/>
    <s v="Labor"/>
    <s v="CO-C"/>
    <d v="2026-03-06T00:00:00"/>
    <x v="9"/>
    <x v="24"/>
    <s v="Billable Contractor"/>
    <m/>
    <s v="ORCL IN OSSI"/>
    <s v="504526 - 96V:GSC-DB &amp; Options"/>
    <s v="009B"/>
    <s v="Y"/>
    <s v="Y"/>
    <s v="Unrecognized"/>
    <n v="8"/>
    <s v="AED"/>
    <n v="112.63"/>
    <n v="754.44"/>
    <n v="901.0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401461"/>
    <s v="1530419486:1"/>
    <s v="1.04.00"/>
    <s v="FP Labor - Remote Services Ctr"/>
    <s v="Labor"/>
    <s v="CO-C"/>
    <d v="2026-03-06T00:00:00"/>
    <x v="9"/>
    <x v="25"/>
    <s v="Employee"/>
    <s v="7"/>
    <s v="ORCL IN OSSI"/>
    <s v="504506 - 94V:GSC-eStudio"/>
    <s v="009B"/>
    <s v="Y"/>
    <s v="Y"/>
    <s v="Unrecognized"/>
    <n v="8"/>
    <s v="AED"/>
    <n v="112.63"/>
    <n v="813.38"/>
    <n v="901.0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3629"/>
    <s v="1530914870:1"/>
    <s v="1.04.00"/>
    <s v="FP Labor - Remote Services Ctr"/>
    <s v="Labor"/>
    <s v="CO-C"/>
    <d v="2026-03-06T00:00:00"/>
    <x v="9"/>
    <x v="32"/>
    <s v="Employee"/>
    <s v="5"/>
    <s v="ORCL IN OSSI"/>
    <s v="504546 - 98V:GSC-PaaS"/>
    <s v="09B2"/>
    <s v="Y"/>
    <s v="Y"/>
    <s v="Unrecognized"/>
    <n v="8"/>
    <s v="AED"/>
    <n v="70.099999999999994"/>
    <n v="660.13"/>
    <n v="560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61"/>
    <s v="3029649831781321"/>
    <s v="1.04.00"/>
    <s v="FP Labor - Remote Services Ctr"/>
    <s v="Labor"/>
    <s v="CO-C"/>
    <d v="2026-03-08T00:00:00"/>
    <x v="10"/>
    <x v="34"/>
    <s v="Billable Contractor"/>
    <m/>
    <s v="ORCL AE"/>
    <s v="509485 - 73M: EMEA Business Analytics - PaaS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059"/>
    <s v="3029641398494522"/>
    <s v="1.04.00"/>
    <s v="FP Labor - Remote Services Ctr"/>
    <s v="Labor"/>
    <s v="CO-C"/>
    <d v="2026-03-08T00:00:00"/>
    <x v="10"/>
    <x v="2"/>
    <s v="Billable Contractor"/>
    <m/>
    <s v="ORCL EG"/>
    <s v="509485 - 73M: EMEA Business Analytics - PaaS"/>
    <s v="008U"/>
    <s v="Y"/>
    <s v="Y"/>
    <s v="Unrecognized"/>
    <n v="8"/>
    <s v="AED"/>
    <n v="56.34"/>
    <n v="542.25"/>
    <n v="450.6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3691"/>
    <s v="1531264124:1"/>
    <s v="1.04.00"/>
    <s v="FP Labor - Remote Services Ctr"/>
    <s v="Labor"/>
    <s v="CO-C"/>
    <d v="2026-03-09T00:00:00"/>
    <x v="10"/>
    <x v="27"/>
    <s v="Employee"/>
    <s v="6"/>
    <s v="ORCL IN OSSI"/>
    <s v="504526 - 96V:GSC-DB &amp; Options"/>
    <s v="09B4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67915"/>
    <s v="1530776044:1"/>
    <s v="1.04.00"/>
    <s v="FP Labor - Remote Services Ctr"/>
    <s v="Labor"/>
    <s v="CO-C"/>
    <d v="2026-03-09T00:00:00"/>
    <x v="10"/>
    <x v="16"/>
    <s v="Employee"/>
    <s v="5"/>
    <s v="ORCL IN OSSI"/>
    <s v="504526 - 96V:GSC-DB &amp; Options"/>
    <s v="09B1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0003"/>
    <s v="1531071652:1"/>
    <s v="1.04.00"/>
    <s v="FP Labor - Remote Services Ctr"/>
    <s v="Labor"/>
    <s v="CO-C"/>
    <d v="2026-03-09T00:00:00"/>
    <x v="10"/>
    <x v="17"/>
    <s v="Employee"/>
    <s v="5"/>
    <s v="ORCL IN OSSI"/>
    <s v="504526 - 96V:GSC-DB &amp; Options"/>
    <s v="09B3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08928"/>
    <s v="1530159773:1"/>
    <s v="1.04.00"/>
    <s v="FP Labor - Remote Services Ctr"/>
    <s v="Labor"/>
    <s v="CO-C"/>
    <d v="2026-03-09T00:00:00"/>
    <x v="10"/>
    <x v="18"/>
    <s v="Employee"/>
    <s v="5"/>
    <s v="ORCL IN OSSI"/>
    <s v="504526 - 96V:GSC-DB &amp; Options"/>
    <s v="09B1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6711"/>
    <s v="1531109914:1"/>
    <s v="1.04.00"/>
    <s v="FP Labor - Remote Services Ctr"/>
    <s v="Labor"/>
    <s v="CO-C"/>
    <d v="2026-03-09T00:00:00"/>
    <x v="10"/>
    <x v="19"/>
    <s v="Employee"/>
    <s v="4"/>
    <s v="ORCL IN OSSI"/>
    <s v="504526 - 96V:GSC-DB &amp; Options"/>
    <s v="09B4"/>
    <s v="Y"/>
    <s v="Y"/>
    <s v="Unrecognized"/>
    <n v="8"/>
    <s v="AED"/>
    <n v="69.989999999999995"/>
    <n v="542.25"/>
    <n v="559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5865"/>
    <s v="1531081452:1"/>
    <s v="1.04.00"/>
    <s v="FP Labor - Remote Services Ctr"/>
    <s v="Labor"/>
    <s v="CO-C"/>
    <d v="2026-03-09T00:00:00"/>
    <x v="10"/>
    <x v="20"/>
    <s v="Employee"/>
    <s v="4"/>
    <s v="ORCL IN OSSI"/>
    <s v="504506 - 94V:GSC-eStudio"/>
    <s v="09B4"/>
    <s v="Y"/>
    <s v="Y"/>
    <s v="Unrecognized"/>
    <n v="8"/>
    <s v="AED"/>
    <n v="69.989999999999995"/>
    <n v="542.25"/>
    <n v="559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4591"/>
    <s v="1531056949:1"/>
    <s v="1.04.00"/>
    <s v="FP Labor - Remote Services Ctr"/>
    <s v="Labor"/>
    <s v="CO-C"/>
    <d v="2026-03-09T00:00:00"/>
    <x v="10"/>
    <x v="29"/>
    <s v="Employee"/>
    <s v="6"/>
    <s v="ORCL IN OSSI"/>
    <s v="504506 - 94V:GSC-eStudio"/>
    <s v="09B2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738"/>
    <s v="3029639063871311"/>
    <s v="1.04.00"/>
    <s v="FP Labor - Remote Services Ctr"/>
    <s v="Labor"/>
    <s v="CO-C"/>
    <d v="2026-03-09T00:00:00"/>
    <x v="10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057"/>
    <s v="3029641398494542"/>
    <s v="1.04.00"/>
    <s v="FP Labor - Remote Services Ctr"/>
    <s v="Labor"/>
    <s v="CO-C"/>
    <d v="2026-03-09T00:00:00"/>
    <x v="10"/>
    <x v="2"/>
    <s v="Billable Contractor"/>
    <m/>
    <s v="ORCL EG"/>
    <s v="509485 - 73M: EMEA Business Analytics - PaaS"/>
    <s v="008U"/>
    <s v="Y"/>
    <s v="Y"/>
    <s v="Unrecognized"/>
    <n v="20"/>
    <s v="AED"/>
    <n v="56.33"/>
    <n v="542.25"/>
    <n v="1126.69"/>
    <n v="0"/>
    <n v="10844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6104"/>
    <s v="1531106148:1"/>
    <s v="1.04.00"/>
    <s v="FP Labor - Remote Services Ctr"/>
    <s v="Labor"/>
    <s v="CO-C"/>
    <d v="2026-03-09T00:00:00"/>
    <x v="10"/>
    <x v="23"/>
    <s v="Employee"/>
    <s v="5"/>
    <s v="ORCL IN OSSI"/>
    <s v="504526 - 96V:GSC-DB &amp; Options"/>
    <s v="09B1"/>
    <s v="Y"/>
    <s v="Y"/>
    <s v="Unrecognized"/>
    <n v="8"/>
    <s v="AED"/>
    <n v="69.989999999999995"/>
    <n v="660.13"/>
    <n v="559.88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65710"/>
    <s v="1531153752:2"/>
    <s v="1.04.00"/>
    <s v="FP Labor - Remote Services Ctr"/>
    <s v="Labor"/>
    <s v="CO-C"/>
    <d v="2026-03-09T00:00:00"/>
    <x v="10"/>
    <x v="31"/>
    <s v="Employee"/>
    <s v="6"/>
    <s v="ORCL IN OSSI"/>
    <s v="504506 - 94V:GSC-eStudio"/>
    <s v="09B2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28543"/>
    <s v="3029637880616121"/>
    <s v="1.04.00"/>
    <s v="FP Labor - Remote Services Ctr"/>
    <s v="Labor"/>
    <s v="CO-C"/>
    <d v="2026-03-09T00:00:00"/>
    <x v="10"/>
    <x v="24"/>
    <s v="Billable Contractor"/>
    <m/>
    <s v="ORCL IN OSSI"/>
    <s v="504526 - 96V:GSC-DB &amp; Options"/>
    <s v="009B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594125"/>
    <s v="1530419501:1"/>
    <s v="1.04.00"/>
    <s v="FP Labor - Remote Services Ctr"/>
    <s v="Labor"/>
    <s v="CO-C"/>
    <d v="2026-03-09T00:00:00"/>
    <x v="10"/>
    <x v="25"/>
    <s v="Employee"/>
    <s v="7"/>
    <s v="ORCL IN OSSI"/>
    <s v="504506 - 94V:GSC-eStudio"/>
    <s v="009B"/>
    <s v="Y"/>
    <s v="Y"/>
    <s v="Unrecognized"/>
    <n v="8"/>
    <s v="AED"/>
    <n v="112.46"/>
    <n v="813.38"/>
    <n v="899.6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5086"/>
    <s v="1530914799:2"/>
    <s v="1.04.00"/>
    <s v="FP Labor - Remote Services Ctr"/>
    <s v="Labor"/>
    <s v="CO-C"/>
    <d v="2026-03-09T00:00:00"/>
    <x v="10"/>
    <x v="32"/>
    <s v="Employee"/>
    <s v="5"/>
    <s v="ORCL IN OSSI"/>
    <s v="504546 - 98V:GSC-PaaS"/>
    <s v="09B2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5263"/>
    <s v="1531264125:1"/>
    <s v="1.04.00"/>
    <s v="FP Labor - Remote Services Ctr"/>
    <s v="Labor"/>
    <s v="CO-C"/>
    <d v="2026-03-10T00:00:00"/>
    <x v="10"/>
    <x v="27"/>
    <s v="Employee"/>
    <s v="6"/>
    <s v="ORCL IN OSSI"/>
    <s v="504526 - 96V:GSC-DB &amp; Options"/>
    <s v="09B4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65558"/>
    <s v="1530776045:1"/>
    <s v="1.04.00"/>
    <s v="FP Labor - Remote Services Ctr"/>
    <s v="Labor"/>
    <s v="CO-C"/>
    <d v="2026-03-10T00:00:00"/>
    <x v="10"/>
    <x v="16"/>
    <s v="Employee"/>
    <s v="5"/>
    <s v="ORCL IN OSSI"/>
    <s v="504526 - 96V:GSC-DB &amp; Options"/>
    <s v="09B1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1711"/>
    <s v="1531071653:1"/>
    <s v="1.04.00"/>
    <s v="FP Labor - Remote Services Ctr"/>
    <s v="Labor"/>
    <s v="CO-C"/>
    <d v="2026-03-10T00:00:00"/>
    <x v="10"/>
    <x v="17"/>
    <s v="Employee"/>
    <s v="5"/>
    <s v="ORCL IN OSSI"/>
    <s v="504526 - 96V:GSC-DB &amp; Options"/>
    <s v="09B3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66308"/>
    <s v="1530159774:1"/>
    <s v="1.04.00"/>
    <s v="FP Labor - Remote Services Ctr"/>
    <s v="Labor"/>
    <s v="CO-C"/>
    <d v="2026-03-10T00:00:00"/>
    <x v="10"/>
    <x v="18"/>
    <s v="Employee"/>
    <s v="5"/>
    <s v="ORCL IN OSSI"/>
    <s v="504526 - 96V:GSC-DB &amp; Options"/>
    <s v="09B1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5343"/>
    <s v="1531109913:1"/>
    <s v="1.04.00"/>
    <s v="FP Labor - Remote Services Ctr"/>
    <s v="Labor"/>
    <s v="CO-C"/>
    <d v="2026-03-10T00:00:00"/>
    <x v="10"/>
    <x v="19"/>
    <s v="Employee"/>
    <s v="4"/>
    <s v="ORCL IN OSSI"/>
    <s v="504526 - 96V:GSC-DB &amp; Options"/>
    <s v="09B4"/>
    <s v="Y"/>
    <s v="Y"/>
    <s v="Unrecognized"/>
    <n v="8"/>
    <s v="AED"/>
    <n v="69.989999999999995"/>
    <n v="542.25"/>
    <n v="559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3445"/>
    <s v="1531085456:1"/>
    <s v="1.04.00"/>
    <s v="FP Labor - Remote Services Ctr"/>
    <s v="Labor"/>
    <s v="CO-C"/>
    <d v="2026-03-10T00:00:00"/>
    <x v="10"/>
    <x v="20"/>
    <s v="Employee"/>
    <s v="4"/>
    <s v="ORCL IN OSSI"/>
    <s v="504506 - 94V:GSC-eStudio"/>
    <s v="09B4"/>
    <s v="Y"/>
    <s v="Y"/>
    <s v="Unrecognized"/>
    <n v="8"/>
    <s v="AED"/>
    <n v="69.989999999999995"/>
    <n v="542.25"/>
    <n v="559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2133"/>
    <s v="1531056948:1"/>
    <s v="1.04.00"/>
    <s v="FP Labor - Remote Services Ctr"/>
    <s v="Labor"/>
    <s v="CO-C"/>
    <d v="2026-03-10T00:00:00"/>
    <x v="10"/>
    <x v="29"/>
    <s v="Employee"/>
    <s v="6"/>
    <s v="ORCL IN OSSI"/>
    <s v="504506 - 94V:GSC-eStudio"/>
    <s v="09B2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736"/>
    <s v="3029639063871341"/>
    <s v="1.04.00"/>
    <s v="FP Labor - Remote Services Ctr"/>
    <s v="Labor"/>
    <s v="CO-C"/>
    <d v="2026-03-10T00:00:00"/>
    <x v="10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3481"/>
    <s v="1531106149:1"/>
    <s v="1.04.00"/>
    <s v="FP Labor - Remote Services Ctr"/>
    <s v="Labor"/>
    <s v="CO-C"/>
    <d v="2026-03-10T00:00:00"/>
    <x v="10"/>
    <x v="23"/>
    <s v="Employee"/>
    <s v="5"/>
    <s v="ORCL IN OSSI"/>
    <s v="504526 - 96V:GSC-DB &amp; Options"/>
    <s v="09B1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22762"/>
    <s v="1531153754:2"/>
    <s v="1.04.00"/>
    <s v="FP Labor - Remote Services Ctr"/>
    <s v="Labor"/>
    <s v="CO-C"/>
    <d v="2026-03-10T00:00:00"/>
    <x v="10"/>
    <x v="31"/>
    <s v="Employee"/>
    <s v="6"/>
    <s v="ORCL IN OSSI"/>
    <s v="504506 - 94V:GSC-eStudio"/>
    <s v="09B2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28542"/>
    <s v="3029637880616141"/>
    <s v="1.04.00"/>
    <s v="FP Labor - Remote Services Ctr"/>
    <s v="Labor"/>
    <s v="CO-C"/>
    <d v="2026-03-10T00:00:00"/>
    <x v="10"/>
    <x v="24"/>
    <s v="Billable Contractor"/>
    <m/>
    <s v="ORCL IN OSSI"/>
    <s v="504526 - 96V:GSC-DB &amp; Options"/>
    <s v="009B"/>
    <s v="Y"/>
    <s v="Y"/>
    <s v="Unrecognized"/>
    <n v="8"/>
    <s v="AED"/>
    <n v="112.46"/>
    <n v="754.44"/>
    <n v="899.6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65960"/>
    <s v="1530419502:1"/>
    <s v="1.04.00"/>
    <s v="FP Labor - Remote Services Ctr"/>
    <s v="Labor"/>
    <s v="CO-C"/>
    <d v="2026-03-10T00:00:00"/>
    <x v="10"/>
    <x v="25"/>
    <s v="Employee"/>
    <s v="7"/>
    <s v="ORCL IN OSSI"/>
    <s v="504506 - 94V:GSC-eStudio"/>
    <s v="009B"/>
    <s v="Y"/>
    <s v="Y"/>
    <s v="Unrecognized"/>
    <n v="8"/>
    <s v="AED"/>
    <n v="112.46"/>
    <n v="813.38"/>
    <n v="899.6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4179"/>
    <s v="1530914796:2"/>
    <s v="1.04.00"/>
    <s v="FP Labor - Remote Services Ctr"/>
    <s v="Labor"/>
    <s v="CO-C"/>
    <d v="2026-03-10T00:00:00"/>
    <x v="10"/>
    <x v="32"/>
    <s v="Employee"/>
    <s v="5"/>
    <s v="ORCL IN OSSI"/>
    <s v="504546 - 98V:GSC-PaaS"/>
    <s v="09B2"/>
    <s v="Y"/>
    <s v="Y"/>
    <s v="Unrecognized"/>
    <n v="8"/>
    <s v="AED"/>
    <n v="69.989999999999995"/>
    <n v="660.13"/>
    <n v="559.88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9588"/>
    <s v="1531264126:1"/>
    <s v="1.04.00"/>
    <s v="FP Labor - Remote Services Ctr"/>
    <s v="Labor"/>
    <s v="CO-C"/>
    <d v="2026-03-11T00:00:00"/>
    <x v="10"/>
    <x v="27"/>
    <s v="Employee"/>
    <s v="6"/>
    <s v="ORCL IN OSSI"/>
    <s v="504526 - 96V:GSC-DB &amp; Options"/>
    <s v="09B4"/>
    <s v="Y"/>
    <s v="Y"/>
    <s v="Unrecognized"/>
    <n v="8"/>
    <s v="AED"/>
    <n v="112.38"/>
    <n v="754.44"/>
    <n v="899.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7109"/>
    <s v="1530776046:1"/>
    <s v="1.04.00"/>
    <s v="FP Labor - Remote Services Ctr"/>
    <s v="Labor"/>
    <s v="CO-C"/>
    <d v="2026-03-11T00:00:00"/>
    <x v="10"/>
    <x v="16"/>
    <s v="Employee"/>
    <s v="5"/>
    <s v="ORCL IN OSSI"/>
    <s v="504526 - 96V:GSC-DB &amp; Options"/>
    <s v="09B1"/>
    <s v="Y"/>
    <s v="Y"/>
    <s v="Unrecognized"/>
    <n v="8"/>
    <s v="AED"/>
    <n v="69.94"/>
    <n v="660.13"/>
    <n v="559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3225"/>
    <s v="1531071656:1"/>
    <s v="1.04.00"/>
    <s v="FP Labor - Remote Services Ctr"/>
    <s v="Labor"/>
    <s v="CO-C"/>
    <d v="2026-03-11T00:00:00"/>
    <x v="10"/>
    <x v="17"/>
    <s v="Employee"/>
    <s v="5"/>
    <s v="ORCL IN OSSI"/>
    <s v="504526 - 96V:GSC-DB &amp; Options"/>
    <s v="09B3"/>
    <s v="Y"/>
    <s v="Y"/>
    <s v="Unrecognized"/>
    <n v="8"/>
    <s v="AED"/>
    <n v="69.94"/>
    <n v="660.13"/>
    <n v="559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7593"/>
    <s v="1530159775:1"/>
    <s v="1.04.00"/>
    <s v="FP Labor - Remote Services Ctr"/>
    <s v="Labor"/>
    <s v="CO-C"/>
    <d v="2026-03-11T00:00:00"/>
    <x v="10"/>
    <x v="18"/>
    <s v="Employee"/>
    <s v="5"/>
    <s v="ORCL IN OSSI"/>
    <s v="504526 - 96V:GSC-DB &amp; Options"/>
    <s v="09B1"/>
    <s v="Y"/>
    <s v="Y"/>
    <s v="Unrecognized"/>
    <n v="8"/>
    <s v="AED"/>
    <n v="69.94"/>
    <n v="660.13"/>
    <n v="559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4455"/>
    <s v="1531109912:1"/>
    <s v="1.04.00"/>
    <s v="FP Labor - Remote Services Ctr"/>
    <s v="Labor"/>
    <s v="CO-C"/>
    <d v="2026-03-11T00:00:00"/>
    <x v="10"/>
    <x v="19"/>
    <s v="Employee"/>
    <s v="4"/>
    <s v="ORCL IN OSSI"/>
    <s v="504526 - 96V:GSC-DB &amp; Options"/>
    <s v="09B4"/>
    <s v="Y"/>
    <s v="Y"/>
    <s v="Unrecognized"/>
    <n v="8"/>
    <s v="AED"/>
    <n v="69.94"/>
    <n v="542.25"/>
    <n v="559.5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2992"/>
    <s v="1531081453:1"/>
    <s v="1.04.00"/>
    <s v="FP Labor - Remote Services Ctr"/>
    <s v="Labor"/>
    <s v="CO-C"/>
    <d v="2026-03-11T00:00:00"/>
    <x v="10"/>
    <x v="20"/>
    <s v="Employee"/>
    <s v="4"/>
    <s v="ORCL IN OSSI"/>
    <s v="504506 - 94V:GSC-eStudio"/>
    <s v="09B4"/>
    <s v="Y"/>
    <s v="Y"/>
    <s v="Unrecognized"/>
    <n v="8"/>
    <s v="AED"/>
    <n v="69.94"/>
    <n v="542.25"/>
    <n v="559.5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734"/>
    <s v="3029639063871371"/>
    <s v="1.04.00"/>
    <s v="FP Labor - Remote Services Ctr"/>
    <s v="Labor"/>
    <s v="CO-C"/>
    <d v="2026-03-11T00:00:00"/>
    <x v="10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8284"/>
    <s v="1528391662:1"/>
    <s v="1.04.00"/>
    <s v="FP Labor - Remote Services Ctr"/>
    <s v="Labor"/>
    <s v="CO-C"/>
    <d v="2026-03-11T00:00:00"/>
    <x v="10"/>
    <x v="22"/>
    <s v="Employee"/>
    <s v="6"/>
    <s v="ORCL IN OSSI"/>
    <s v="504526 - 96V:GSC-DB &amp; Options"/>
    <s v="09B2"/>
    <s v="Y"/>
    <s v="Y"/>
    <s v="Unrecognized"/>
    <n v="8"/>
    <s v="AED"/>
    <n v="112.38"/>
    <n v="754.44"/>
    <n v="899.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3115"/>
    <s v="1531106150:1"/>
    <s v="1.04.00"/>
    <s v="FP Labor - Remote Services Ctr"/>
    <s v="Labor"/>
    <s v="CO-C"/>
    <d v="2026-03-11T00:00:00"/>
    <x v="10"/>
    <x v="23"/>
    <s v="Employee"/>
    <s v="5"/>
    <s v="ORCL IN OSSI"/>
    <s v="504526 - 96V:GSC-DB &amp; Options"/>
    <s v="09B1"/>
    <s v="Y"/>
    <s v="Y"/>
    <s v="Unrecognized"/>
    <n v="8"/>
    <s v="AED"/>
    <n v="69.94"/>
    <n v="660.13"/>
    <n v="559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67837"/>
    <s v="1531153756:2"/>
    <s v="1.04.00"/>
    <s v="FP Labor - Remote Services Ctr"/>
    <s v="Labor"/>
    <s v="CO-C"/>
    <d v="2026-03-11T00:00:00"/>
    <x v="10"/>
    <x v="31"/>
    <s v="Employee"/>
    <s v="6"/>
    <s v="ORCL IN OSSI"/>
    <s v="504506 - 94V:GSC-eStudio"/>
    <s v="09B2"/>
    <s v="Y"/>
    <s v="Y"/>
    <s v="Unrecognized"/>
    <n v="8"/>
    <s v="AED"/>
    <n v="112.38"/>
    <n v="754.44"/>
    <n v="899.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28541"/>
    <s v="3029637880616161"/>
    <s v="1.04.00"/>
    <s v="FP Labor - Remote Services Ctr"/>
    <s v="Labor"/>
    <s v="CO-C"/>
    <d v="2026-03-11T00:00:00"/>
    <x v="10"/>
    <x v="24"/>
    <s v="Billable Contractor"/>
    <m/>
    <s v="ORCL IN OSSI"/>
    <s v="504526 - 96V:GSC-DB &amp; Options"/>
    <s v="009B"/>
    <s v="Y"/>
    <s v="Y"/>
    <s v="Unrecognized"/>
    <n v="8"/>
    <s v="AED"/>
    <n v="112.38"/>
    <n v="754.44"/>
    <n v="899.0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8635"/>
    <s v="1530419503:1"/>
    <s v="1.04.00"/>
    <s v="FP Labor - Remote Services Ctr"/>
    <s v="Labor"/>
    <s v="CO-C"/>
    <d v="2026-03-11T00:00:00"/>
    <x v="10"/>
    <x v="25"/>
    <s v="Employee"/>
    <s v="7"/>
    <s v="ORCL IN OSSI"/>
    <s v="504506 - 94V:GSC-eStudio"/>
    <s v="009B"/>
    <s v="Y"/>
    <s v="Y"/>
    <s v="Unrecognized"/>
    <n v="8"/>
    <s v="AED"/>
    <n v="112.38"/>
    <n v="813.38"/>
    <n v="899.0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694306"/>
    <s v="1530914797:2"/>
    <s v="1.04.00"/>
    <s v="FP Labor - Remote Services Ctr"/>
    <s v="Labor"/>
    <s v="CO-C"/>
    <d v="2026-03-11T00:00:00"/>
    <x v="10"/>
    <x v="32"/>
    <s v="Employee"/>
    <s v="5"/>
    <s v="ORCL IN OSSI"/>
    <s v="504546 - 98V:GSC-PaaS"/>
    <s v="09B2"/>
    <s v="Y"/>
    <s v="Y"/>
    <s v="Unrecognized"/>
    <n v="8"/>
    <s v="AED"/>
    <n v="69.94"/>
    <n v="660.13"/>
    <n v="559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8717"/>
    <s v="1531264127:1"/>
    <s v="1.04.00"/>
    <s v="FP Labor - Remote Services Ctr"/>
    <s v="Labor"/>
    <s v="CO-C"/>
    <d v="2026-03-12T00:00:00"/>
    <x v="10"/>
    <x v="27"/>
    <s v="Employee"/>
    <s v="6"/>
    <s v="ORCL IN OSSI"/>
    <s v="504526 - 96V:GSC-DB &amp; Options"/>
    <s v="09B4"/>
    <s v="Y"/>
    <s v="Y"/>
    <s v="Unrecognized"/>
    <n v="8"/>
    <s v="AED"/>
    <n v="112.1"/>
    <n v="754.44"/>
    <n v="896.7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2610"/>
    <s v="1530776047:1"/>
    <s v="1.04.00"/>
    <s v="FP Labor - Remote Services Ctr"/>
    <s v="Labor"/>
    <s v="CO-C"/>
    <d v="2026-03-12T00:00:00"/>
    <x v="10"/>
    <x v="16"/>
    <s v="Employee"/>
    <s v="5"/>
    <s v="ORCL IN OSSI"/>
    <s v="504526 - 96V:GSC-DB &amp; Options"/>
    <s v="09B1"/>
    <s v="Y"/>
    <s v="Y"/>
    <s v="Unrecognized"/>
    <n v="8"/>
    <s v="AED"/>
    <n v="69.760000000000005"/>
    <n v="660.13"/>
    <n v="558.0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5492"/>
    <s v="1531071654:1"/>
    <s v="1.04.00"/>
    <s v="FP Labor - Remote Services Ctr"/>
    <s v="Labor"/>
    <s v="CO-C"/>
    <d v="2026-03-12T00:00:00"/>
    <x v="10"/>
    <x v="17"/>
    <s v="Employee"/>
    <s v="5"/>
    <s v="ORCL IN OSSI"/>
    <s v="504526 - 96V:GSC-DB &amp; Options"/>
    <s v="09B3"/>
    <s v="Y"/>
    <s v="Y"/>
    <s v="Unrecognized"/>
    <n v="8"/>
    <s v="AED"/>
    <n v="69.760000000000005"/>
    <n v="660.13"/>
    <n v="558.0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3023"/>
    <s v="1530159776:1"/>
    <s v="1.04.00"/>
    <s v="FP Labor - Remote Services Ctr"/>
    <s v="Labor"/>
    <s v="CO-C"/>
    <d v="2026-03-12T00:00:00"/>
    <x v="10"/>
    <x v="18"/>
    <s v="Employee"/>
    <s v="5"/>
    <s v="ORCL IN OSSI"/>
    <s v="504526 - 96V:GSC-DB &amp; Options"/>
    <s v="09B1"/>
    <s v="Y"/>
    <s v="Y"/>
    <s v="Unrecognized"/>
    <n v="8"/>
    <s v="AED"/>
    <n v="69.760000000000005"/>
    <n v="660.13"/>
    <n v="558.0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2169"/>
    <s v="1531109911:1"/>
    <s v="1.04.00"/>
    <s v="FP Labor - Remote Services Ctr"/>
    <s v="Labor"/>
    <s v="CO-C"/>
    <d v="2026-03-12T00:00:00"/>
    <x v="10"/>
    <x v="19"/>
    <s v="Employee"/>
    <s v="4"/>
    <s v="ORCL IN OSSI"/>
    <s v="504526 - 96V:GSC-DB &amp; Options"/>
    <s v="09B4"/>
    <s v="Y"/>
    <s v="Y"/>
    <s v="Unrecognized"/>
    <n v="8"/>
    <s v="AED"/>
    <n v="69.760000000000005"/>
    <n v="542.25"/>
    <n v="558.0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7934"/>
    <s v="1531081454:1"/>
    <s v="1.04.00"/>
    <s v="FP Labor - Remote Services Ctr"/>
    <s v="Labor"/>
    <s v="CO-C"/>
    <d v="2026-03-12T00:00:00"/>
    <x v="10"/>
    <x v="20"/>
    <s v="Employee"/>
    <s v="4"/>
    <s v="ORCL IN OSSI"/>
    <s v="504506 - 94V:GSC-eStudio"/>
    <s v="09B4"/>
    <s v="Y"/>
    <s v="Y"/>
    <s v="Unrecognized"/>
    <n v="8"/>
    <s v="AED"/>
    <n v="69.760000000000005"/>
    <n v="542.25"/>
    <n v="558.0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3537"/>
    <s v="1531056947:1"/>
    <s v="1.04.00"/>
    <s v="FP Labor - Remote Services Ctr"/>
    <s v="Labor"/>
    <s v="CO-C"/>
    <d v="2026-03-12T00:00:00"/>
    <x v="10"/>
    <x v="29"/>
    <s v="Employee"/>
    <s v="6"/>
    <s v="ORCL IN OSSI"/>
    <s v="504506 - 94V:GSC-eStudio"/>
    <s v="09B2"/>
    <s v="Y"/>
    <s v="Y"/>
    <s v="Unrecognized"/>
    <n v="8"/>
    <s v="AED"/>
    <n v="112.1"/>
    <n v="754.44"/>
    <n v="896.7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729"/>
    <s v="3029639063871401"/>
    <s v="1.04.00"/>
    <s v="FP Labor - Remote Services Ctr"/>
    <s v="Labor"/>
    <s v="CO-C"/>
    <d v="2026-03-12T00:00:00"/>
    <x v="10"/>
    <x v="12"/>
    <s v="Billable Contractor"/>
    <m/>
    <s v="ORCL EG"/>
    <s v="509335 - U3K-EMEA Tech Delivery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2207"/>
    <s v="1528391661:1"/>
    <s v="1.04.00"/>
    <s v="FP Labor - Remote Services Ctr"/>
    <s v="Labor"/>
    <s v="CO-C"/>
    <d v="2026-03-12T00:00:00"/>
    <x v="10"/>
    <x v="22"/>
    <s v="Employee"/>
    <s v="6"/>
    <s v="ORCL IN OSSI"/>
    <s v="504526 - 96V:GSC-DB &amp; Options"/>
    <s v="09B2"/>
    <s v="Y"/>
    <s v="Y"/>
    <s v="Unrecognized"/>
    <n v="8"/>
    <s v="AED"/>
    <n v="112.1"/>
    <n v="754.44"/>
    <n v="896.7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5601"/>
    <s v="1531106151:1"/>
    <s v="1.04.00"/>
    <s v="FP Labor - Remote Services Ctr"/>
    <s v="Labor"/>
    <s v="CO-C"/>
    <d v="2026-03-12T00:00:00"/>
    <x v="10"/>
    <x v="23"/>
    <s v="Employee"/>
    <s v="5"/>
    <s v="ORCL IN OSSI"/>
    <s v="504526 - 96V:GSC-DB &amp; Options"/>
    <s v="09B1"/>
    <s v="Y"/>
    <s v="Y"/>
    <s v="Unrecognized"/>
    <n v="8"/>
    <s v="AED"/>
    <n v="69.760000000000005"/>
    <n v="660.13"/>
    <n v="558.0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22640"/>
    <s v="1531153758:2"/>
    <s v="1.04.00"/>
    <s v="FP Labor - Remote Services Ctr"/>
    <s v="Labor"/>
    <s v="CO-C"/>
    <d v="2026-03-12T00:00:00"/>
    <x v="10"/>
    <x v="31"/>
    <s v="Employee"/>
    <s v="6"/>
    <s v="ORCL IN OSSI"/>
    <s v="504506 - 94V:GSC-eStudio"/>
    <s v="09B2"/>
    <s v="Y"/>
    <s v="Y"/>
    <s v="Unrecognized"/>
    <n v="8"/>
    <s v="AED"/>
    <n v="112.1"/>
    <n v="754.44"/>
    <n v="896.7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28540"/>
    <s v="3029637880616181"/>
    <s v="1.04.00"/>
    <s v="FP Labor - Remote Services Ctr"/>
    <s v="Labor"/>
    <s v="CO-C"/>
    <d v="2026-03-12T00:00:00"/>
    <x v="10"/>
    <x v="24"/>
    <s v="Billable Contractor"/>
    <m/>
    <s v="ORCL IN OSSI"/>
    <s v="504526 - 96V:GSC-DB &amp; Options"/>
    <s v="009B"/>
    <s v="Y"/>
    <s v="Y"/>
    <s v="Unrecognized"/>
    <n v="8"/>
    <s v="AED"/>
    <n v="112.1"/>
    <n v="754.44"/>
    <n v="896.7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84331"/>
    <s v="1530419504:1"/>
    <s v="1.04.00"/>
    <s v="FP Labor - Remote Services Ctr"/>
    <s v="Labor"/>
    <s v="CO-C"/>
    <d v="2026-03-12T00:00:00"/>
    <x v="10"/>
    <x v="25"/>
    <s v="Employee"/>
    <s v="7"/>
    <s v="ORCL IN OSSI"/>
    <s v="504506 - 94V:GSC-eStudio"/>
    <s v="009B"/>
    <s v="Y"/>
    <s v="Y"/>
    <s v="Unrecognized"/>
    <n v="8"/>
    <s v="AED"/>
    <n v="112.1"/>
    <n v="813.38"/>
    <n v="896.77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779812"/>
    <s v="1530914798:2"/>
    <s v="1.04.00"/>
    <s v="FP Labor - Remote Services Ctr"/>
    <s v="Labor"/>
    <s v="CO-C"/>
    <d v="2026-03-12T00:00:00"/>
    <x v="10"/>
    <x v="32"/>
    <s v="Employee"/>
    <s v="5"/>
    <s v="ORCL IN OSSI"/>
    <s v="504546 - 98V:GSC-PaaS"/>
    <s v="09B2"/>
    <s v="Y"/>
    <s v="Y"/>
    <s v="Unrecognized"/>
    <n v="8"/>
    <s v="AED"/>
    <n v="69.760000000000005"/>
    <n v="660.13"/>
    <n v="558.0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9438"/>
    <s v="1531264128:1"/>
    <s v="1.04.00"/>
    <s v="FP Labor - Remote Services Ctr"/>
    <s v="Labor"/>
    <s v="CO-C"/>
    <d v="2026-03-13T00:00:00"/>
    <x v="10"/>
    <x v="27"/>
    <s v="Employee"/>
    <s v="6"/>
    <s v="ORCL IN OSSI"/>
    <s v="504526 - 96V:GSC-DB &amp; Options"/>
    <s v="09B4"/>
    <s v="Y"/>
    <s v="Y"/>
    <s v="Unrecognized"/>
    <n v="8"/>
    <s v="AED"/>
    <n v="111.9"/>
    <n v="754.44"/>
    <n v="895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5688"/>
    <s v="1530776048:1"/>
    <s v="1.04.00"/>
    <s v="FP Labor - Remote Services Ctr"/>
    <s v="Labor"/>
    <s v="CO-C"/>
    <d v="2026-03-13T00:00:00"/>
    <x v="10"/>
    <x v="16"/>
    <s v="Employee"/>
    <s v="5"/>
    <s v="ORCL IN OSSI"/>
    <s v="504526 - 96V:GSC-DB &amp; Options"/>
    <s v="09B1"/>
    <s v="Y"/>
    <s v="Y"/>
    <s v="Unrecognized"/>
    <n v="8"/>
    <s v="AED"/>
    <n v="69.64"/>
    <n v="660.13"/>
    <n v="557.1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78736"/>
    <s v="1531071655:1"/>
    <s v="1.04.00"/>
    <s v="FP Labor - Remote Services Ctr"/>
    <s v="Labor"/>
    <s v="CO-C"/>
    <d v="2026-03-13T00:00:00"/>
    <x v="10"/>
    <x v="17"/>
    <s v="Employee"/>
    <s v="5"/>
    <s v="ORCL IN OSSI"/>
    <s v="504526 - 96V:GSC-DB &amp; Options"/>
    <s v="09B3"/>
    <s v="Y"/>
    <s v="Y"/>
    <s v="Unrecognized"/>
    <n v="8"/>
    <s v="AED"/>
    <n v="69.64"/>
    <n v="660.13"/>
    <n v="557.1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7796"/>
    <s v="1530159777:1"/>
    <s v="1.04.00"/>
    <s v="FP Labor - Remote Services Ctr"/>
    <s v="Labor"/>
    <s v="CO-C"/>
    <d v="2026-03-13T00:00:00"/>
    <x v="10"/>
    <x v="18"/>
    <s v="Employee"/>
    <s v="5"/>
    <s v="ORCL IN OSSI"/>
    <s v="504526 - 96V:GSC-DB &amp; Options"/>
    <s v="09B1"/>
    <s v="Y"/>
    <s v="Y"/>
    <s v="Unrecognized"/>
    <n v="8"/>
    <s v="AED"/>
    <n v="69.64"/>
    <n v="660.13"/>
    <n v="557.1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79978"/>
    <s v="1531109910:1"/>
    <s v="1.04.00"/>
    <s v="FP Labor - Remote Services Ctr"/>
    <s v="Labor"/>
    <s v="CO-C"/>
    <d v="2026-03-13T00:00:00"/>
    <x v="10"/>
    <x v="19"/>
    <s v="Employee"/>
    <s v="4"/>
    <s v="ORCL IN OSSI"/>
    <s v="504526 - 96V:GSC-DB &amp; Options"/>
    <s v="09B4"/>
    <s v="Y"/>
    <s v="Y"/>
    <s v="Unrecognized"/>
    <n v="8"/>
    <s v="AED"/>
    <n v="69.64"/>
    <n v="542.25"/>
    <n v="557.1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77400"/>
    <s v="1531081455:1"/>
    <s v="1.04.00"/>
    <s v="FP Labor - Remote Services Ctr"/>
    <s v="Labor"/>
    <s v="CO-C"/>
    <d v="2026-03-13T00:00:00"/>
    <x v="10"/>
    <x v="20"/>
    <s v="Employee"/>
    <s v="4"/>
    <s v="ORCL IN OSSI"/>
    <s v="504506 - 94V:GSC-eStudio"/>
    <s v="09B4"/>
    <s v="Y"/>
    <s v="Y"/>
    <s v="Unrecognized"/>
    <n v="8"/>
    <s v="AED"/>
    <n v="69.64"/>
    <n v="542.25"/>
    <n v="557.1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7355"/>
    <s v="1531056946:1"/>
    <s v="1.04.00"/>
    <s v="FP Labor - Remote Services Ctr"/>
    <s v="Labor"/>
    <s v="CO-C"/>
    <d v="2026-03-13T00:00:00"/>
    <x v="10"/>
    <x v="29"/>
    <s v="Employee"/>
    <s v="6"/>
    <s v="ORCL IN OSSI"/>
    <s v="504506 - 94V:GSC-eStudio"/>
    <s v="09B2"/>
    <s v="Y"/>
    <s v="Y"/>
    <s v="Unrecognized"/>
    <n v="8"/>
    <s v="AED"/>
    <n v="111.9"/>
    <n v="754.44"/>
    <n v="895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77340"/>
    <s v="1528391660:1"/>
    <s v="1.04.00"/>
    <s v="FP Labor - Remote Services Ctr"/>
    <s v="Labor"/>
    <s v="CO-C"/>
    <d v="2026-03-13T00:00:00"/>
    <x v="10"/>
    <x v="22"/>
    <s v="Employee"/>
    <s v="6"/>
    <s v="ORCL IN OSSI"/>
    <s v="504526 - 96V:GSC-DB &amp; Options"/>
    <s v="09B2"/>
    <s v="Y"/>
    <s v="Y"/>
    <s v="Unrecognized"/>
    <n v="8"/>
    <s v="AED"/>
    <n v="111.9"/>
    <n v="754.44"/>
    <n v="895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3649"/>
    <s v="1531106152:1"/>
    <s v="1.04.00"/>
    <s v="FP Labor - Remote Services Ctr"/>
    <s v="Labor"/>
    <s v="CO-C"/>
    <d v="2026-03-13T00:00:00"/>
    <x v="10"/>
    <x v="23"/>
    <s v="Employee"/>
    <s v="5"/>
    <s v="ORCL IN OSSI"/>
    <s v="504526 - 96V:GSC-DB &amp; Options"/>
    <s v="09B1"/>
    <s v="Y"/>
    <s v="Y"/>
    <s v="Unrecognized"/>
    <n v="8"/>
    <s v="AED"/>
    <n v="69.64"/>
    <n v="660.13"/>
    <n v="557.1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79124"/>
    <s v="1531153760:2"/>
    <s v="1.04.00"/>
    <s v="FP Labor - Remote Services Ctr"/>
    <s v="Labor"/>
    <s v="CO-C"/>
    <d v="2026-03-13T00:00:00"/>
    <x v="10"/>
    <x v="31"/>
    <s v="Employee"/>
    <s v="6"/>
    <s v="ORCL IN OSSI"/>
    <s v="504506 - 94V:GSC-eStudio"/>
    <s v="09B2"/>
    <s v="Y"/>
    <s v="Y"/>
    <s v="Unrecognized"/>
    <n v="8"/>
    <s v="AED"/>
    <n v="111.9"/>
    <n v="754.44"/>
    <n v="895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28539"/>
    <s v="3029637880616201"/>
    <s v="1.04.00"/>
    <s v="FP Labor - Remote Services Ctr"/>
    <s v="Labor"/>
    <s v="CO-C"/>
    <d v="2026-03-13T00:00:00"/>
    <x v="10"/>
    <x v="24"/>
    <s v="Billable Contractor"/>
    <m/>
    <s v="ORCL IN OSSI"/>
    <s v="504526 - 96V:GSC-DB &amp; Options"/>
    <s v="009B"/>
    <s v="Y"/>
    <s v="Y"/>
    <s v="Unrecognized"/>
    <n v="8"/>
    <s v="AED"/>
    <n v="111.9"/>
    <n v="754.44"/>
    <n v="895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67283"/>
    <s v="1530419505:1"/>
    <s v="1.04.00"/>
    <s v="FP Labor - Remote Services Ctr"/>
    <s v="Labor"/>
    <s v="CO-C"/>
    <d v="2026-03-13T00:00:00"/>
    <x v="10"/>
    <x v="25"/>
    <s v="Employee"/>
    <s v="7"/>
    <s v="ORCL IN OSSI"/>
    <s v="504506 - 94V:GSC-eStudio"/>
    <s v="009B"/>
    <s v="Y"/>
    <s v="Y"/>
    <s v="Unrecognized"/>
    <n v="8"/>
    <s v="AED"/>
    <n v="111.9"/>
    <n v="813.38"/>
    <n v="895.2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5878964"/>
    <s v="1530914844:1"/>
    <s v="1.04.00"/>
    <s v="FP Labor - Remote Services Ctr"/>
    <s v="Labor"/>
    <s v="CO-C"/>
    <d v="2026-03-13T00:00:00"/>
    <x v="10"/>
    <x v="32"/>
    <s v="Employee"/>
    <s v="5"/>
    <s v="ORCL IN OSSI"/>
    <s v="504546 - 98V:GSC-PaaS"/>
    <s v="09B2"/>
    <s v="Y"/>
    <s v="Y"/>
    <s v="Unrecognized"/>
    <n v="8"/>
    <s v="AED"/>
    <n v="69.64"/>
    <n v="660.13"/>
    <n v="557.1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38"/>
    <s v="3029649830338751"/>
    <s v="1.04.00"/>
    <s v="FP Labor - Remote Services Ctr"/>
    <s v="Labor"/>
    <s v="CO-C"/>
    <d v="2026-03-14T00:00:00"/>
    <x v="11"/>
    <x v="34"/>
    <s v="Billable Contractor"/>
    <m/>
    <s v="ORCL AE"/>
    <s v="509485 - 73M: EMEA Business Analytics - PaaS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37"/>
    <s v="3029649830338771"/>
    <s v="1.04.00"/>
    <s v="FP Labor - Remote Services Ctr"/>
    <s v="Labor"/>
    <s v="CO-C"/>
    <d v="2026-03-15T00:00:00"/>
    <x v="11"/>
    <x v="34"/>
    <s v="Billable Contractor"/>
    <m/>
    <s v="ORCL AE"/>
    <s v="509485 - 73M: EMEA Business Analytics - PaaS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4798"/>
    <s v="3029641398627322"/>
    <s v="1.04.00"/>
    <s v="FP Labor - Remote Services Ctr"/>
    <s v="Labor"/>
    <s v="CO-C"/>
    <d v="2026-03-15T00:00:00"/>
    <x v="11"/>
    <x v="2"/>
    <s v="Billable Contractor"/>
    <m/>
    <s v="ORCL EG"/>
    <s v="509485 - 73M: EMEA Business Analytics - PaaS"/>
    <s v="008U"/>
    <s v="Y"/>
    <s v="Y"/>
    <s v="Unrecognized"/>
    <n v="20"/>
    <s v="AED"/>
    <n v="53.86"/>
    <n v="542.25"/>
    <n v="1077.28"/>
    <n v="0"/>
    <n v="10844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30628"/>
    <s v="1532559430:1"/>
    <s v="1.04.00"/>
    <s v="FP Labor - Remote Services Ctr"/>
    <s v="Labor"/>
    <s v="CO-C"/>
    <d v="2026-03-16T00:00:00"/>
    <x v="11"/>
    <x v="27"/>
    <s v="Employee"/>
    <s v="6"/>
    <s v="ORCL IN OSSI"/>
    <s v="504526 - 96V:GSC-DB &amp; Options"/>
    <s v="09B4"/>
    <s v="Y"/>
    <s v="Y"/>
    <s v="Unrecognized"/>
    <n v="8"/>
    <s v="AED"/>
    <n v="111.59"/>
    <n v="754.44"/>
    <n v="892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03946"/>
    <s v="1530776095:1"/>
    <s v="1.04.00"/>
    <s v="FP Labor - Remote Services Ctr"/>
    <s v="Labor"/>
    <s v="CO-C"/>
    <d v="2026-03-16T00:00:00"/>
    <x v="11"/>
    <x v="16"/>
    <s v="Employee"/>
    <s v="5"/>
    <s v="ORCL IN OSSI"/>
    <s v="504526 - 96V:GSC-DB &amp; Options"/>
    <s v="09B1"/>
    <s v="Y"/>
    <s v="Y"/>
    <s v="Unrecognized"/>
    <n v="8"/>
    <s v="AED"/>
    <n v="69.45"/>
    <n v="660.13"/>
    <n v="555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0344"/>
    <s v="1531996463:1"/>
    <s v="1.04.00"/>
    <s v="FP Labor - Remote Services Ctr"/>
    <s v="Labor"/>
    <s v="CO-C"/>
    <d v="2026-03-16T00:00:00"/>
    <x v="11"/>
    <x v="17"/>
    <s v="Employee"/>
    <s v="5"/>
    <s v="ORCL IN OSSI"/>
    <s v="504526 - 96V:GSC-DB &amp; Options"/>
    <s v="09B3"/>
    <s v="Y"/>
    <s v="Y"/>
    <s v="Unrecognized"/>
    <n v="8"/>
    <s v="AED"/>
    <n v="69.45"/>
    <n v="660.13"/>
    <n v="555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09292"/>
    <s v="1530159790:1"/>
    <s v="1.04.00"/>
    <s v="FP Labor - Remote Services Ctr"/>
    <s v="Labor"/>
    <s v="CO-C"/>
    <d v="2026-03-16T00:00:00"/>
    <x v="11"/>
    <x v="18"/>
    <s v="Employee"/>
    <s v="5"/>
    <s v="ORCL IN OSSI"/>
    <s v="504526 - 96V:GSC-DB &amp; Options"/>
    <s v="09B1"/>
    <s v="Y"/>
    <s v="Y"/>
    <s v="Unrecognized"/>
    <n v="8"/>
    <s v="AED"/>
    <n v="69.45"/>
    <n v="660.13"/>
    <n v="555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01856"/>
    <s v="1532035276:1"/>
    <s v="1.04.00"/>
    <s v="FP Labor - Remote Services Ctr"/>
    <s v="Labor"/>
    <s v="CO-C"/>
    <d v="2026-03-16T00:00:00"/>
    <x v="11"/>
    <x v="19"/>
    <s v="Employee"/>
    <s v="4"/>
    <s v="ORCL IN OSSI"/>
    <s v="504526 - 96V:GSC-DB &amp; Options"/>
    <s v="09B4"/>
    <s v="Y"/>
    <s v="Y"/>
    <s v="Unrecognized"/>
    <n v="8"/>
    <s v="AED"/>
    <n v="69.45"/>
    <n v="542.25"/>
    <n v="555.57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455665"/>
    <s v="1531773472:1"/>
    <s v="1.04.00"/>
    <s v="FP Labor - Remote Services Ctr"/>
    <s v="Labor"/>
    <s v="CO-C"/>
    <d v="2026-03-16T00:00:00"/>
    <x v="11"/>
    <x v="29"/>
    <s v="Employee"/>
    <s v="6"/>
    <s v="ORCL IN OSSI"/>
    <s v="504506 - 94V:GSC-eStudio"/>
    <s v="09B2"/>
    <s v="Y"/>
    <s v="Y"/>
    <s v="Unrecognized"/>
    <n v="8"/>
    <s v="AED"/>
    <n v="111.59"/>
    <n v="754.44"/>
    <n v="892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670"/>
    <s v="3029639061277281"/>
    <s v="1.04.00"/>
    <s v="FP Labor - Remote Services Ctr"/>
    <s v="Labor"/>
    <s v="CO-C"/>
    <d v="2026-03-16T00:00:00"/>
    <x v="11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17274"/>
    <s v="1532099732:1"/>
    <s v="1.04.00"/>
    <s v="FP Labor - Remote Services Ctr"/>
    <s v="Labor"/>
    <s v="CO-C"/>
    <d v="2026-03-16T00:00:00"/>
    <x v="11"/>
    <x v="22"/>
    <s v="Employee"/>
    <s v="6"/>
    <s v="ORCL IN OSSI"/>
    <s v="504526 - 96V:GSC-DB &amp; Options"/>
    <s v="09B2"/>
    <s v="Y"/>
    <s v="Y"/>
    <s v="Unrecognized"/>
    <n v="8"/>
    <s v="AED"/>
    <n v="111.59"/>
    <n v="754.44"/>
    <n v="892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4770"/>
    <s v="3029641398627342"/>
    <s v="1.04.00"/>
    <s v="FP Labor - Remote Services Ctr"/>
    <s v="Labor"/>
    <s v="CO-C"/>
    <d v="2026-03-16T00:00:00"/>
    <x v="11"/>
    <x v="2"/>
    <s v="Billable Contractor"/>
    <m/>
    <s v="ORCL EG"/>
    <s v="509485 - 73M: EMEA Business Analytics - PaaS"/>
    <s v="008U"/>
    <s v="Y"/>
    <s v="Y"/>
    <s v="Unrecognized"/>
    <n v="8"/>
    <s v="AED"/>
    <n v="53.86"/>
    <n v="542.25"/>
    <n v="430.9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93878"/>
    <s v="1531941331:2"/>
    <s v="1.04.00"/>
    <s v="FP Labor - Remote Services Ctr"/>
    <s v="Labor"/>
    <s v="CO-C"/>
    <d v="2026-03-16T00:00:00"/>
    <x v="11"/>
    <x v="23"/>
    <s v="Employee"/>
    <s v="5"/>
    <s v="ORCL IN OSSI"/>
    <s v="504526 - 96V:GSC-DB &amp; Options"/>
    <s v="09B1"/>
    <s v="Y"/>
    <s v="Y"/>
    <s v="Unrecognized"/>
    <n v="8"/>
    <s v="AED"/>
    <n v="69.45"/>
    <n v="660.13"/>
    <n v="555.57000000000005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0025"/>
    <s v="1532006112:2"/>
    <s v="1.04.00"/>
    <s v="FP Labor - Remote Services Ctr"/>
    <s v="Labor"/>
    <s v="CO-C"/>
    <d v="2026-03-16T00:00:00"/>
    <x v="11"/>
    <x v="31"/>
    <s v="Employee"/>
    <s v="6"/>
    <s v="ORCL IN OSSI"/>
    <s v="504506 - 94V:GSC-eStudio"/>
    <s v="09B2"/>
    <s v="Y"/>
    <s v="Y"/>
    <s v="Unrecognized"/>
    <n v="8"/>
    <s v="AED"/>
    <n v="111.59"/>
    <n v="754.44"/>
    <n v="892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80176"/>
    <s v="3029639031733091"/>
    <s v="1.04.00"/>
    <s v="FP Labor - Remote Services Ctr"/>
    <s v="Labor"/>
    <s v="CO-C"/>
    <d v="2026-03-16T00:00:00"/>
    <x v="11"/>
    <x v="24"/>
    <s v="Billable Contractor"/>
    <m/>
    <s v="ORCL IN OSSI"/>
    <s v="504526 - 96V:GSC-DB &amp; Options"/>
    <s v="009B"/>
    <s v="Y"/>
    <s v="Y"/>
    <s v="Unrecognized"/>
    <n v="8"/>
    <s v="AED"/>
    <n v="111.59"/>
    <n v="754.44"/>
    <n v="892.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95854"/>
    <s v="1531934670:2"/>
    <s v="1.04.00"/>
    <s v="FP Labor - Remote Services Ctr"/>
    <s v="Labor"/>
    <s v="CO-C"/>
    <d v="2026-03-16T00:00:00"/>
    <x v="11"/>
    <x v="32"/>
    <s v="Employee"/>
    <s v="5"/>
    <s v="ORCL IN OSSI"/>
    <s v="504546 - 98V:GSC-PaaS"/>
    <s v="09B2"/>
    <s v="Y"/>
    <s v="Y"/>
    <s v="Unrecognized"/>
    <n v="8"/>
    <s v="AED"/>
    <n v="69.45"/>
    <n v="660.13"/>
    <n v="555.57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30134"/>
    <s v="1532559431:1"/>
    <s v="1.04.00"/>
    <s v="FP Labor - Remote Services Ctr"/>
    <s v="Labor"/>
    <s v="CO-C"/>
    <d v="2026-03-17T00:00:00"/>
    <x v="11"/>
    <x v="27"/>
    <s v="Employee"/>
    <s v="6"/>
    <s v="ORCL IN OSSI"/>
    <s v="504526 - 96V:GSC-DB &amp; Options"/>
    <s v="09B4"/>
    <s v="Y"/>
    <s v="Y"/>
    <s v="Unrecognized"/>
    <n v="8"/>
    <s v="AED"/>
    <n v="111.63"/>
    <n v="754.44"/>
    <n v="893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75341"/>
    <s v="1530776096:1"/>
    <s v="1.04.00"/>
    <s v="FP Labor - Remote Services Ctr"/>
    <s v="Labor"/>
    <s v="CO-C"/>
    <d v="2026-03-17T00:00:00"/>
    <x v="11"/>
    <x v="16"/>
    <s v="Employee"/>
    <s v="5"/>
    <s v="ORCL IN OSSI"/>
    <s v="504526 - 96V:GSC-DB &amp; Options"/>
    <s v="09B1"/>
    <s v="Y"/>
    <s v="Y"/>
    <s v="Unrecognized"/>
    <n v="8"/>
    <s v="AED"/>
    <n v="69.47"/>
    <n v="660.13"/>
    <n v="555.7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74342"/>
    <s v="1530159791:1"/>
    <s v="1.04.00"/>
    <s v="FP Labor - Remote Services Ctr"/>
    <s v="Labor"/>
    <s v="CO-C"/>
    <d v="2026-03-17T00:00:00"/>
    <x v="11"/>
    <x v="18"/>
    <s v="Employee"/>
    <s v="5"/>
    <s v="ORCL IN OSSI"/>
    <s v="504526 - 96V:GSC-DB &amp; Options"/>
    <s v="09B1"/>
    <s v="Y"/>
    <s v="Y"/>
    <s v="Unrecognized"/>
    <n v="8"/>
    <s v="AED"/>
    <n v="69.47"/>
    <n v="660.13"/>
    <n v="555.7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01910"/>
    <s v="1532035275:1"/>
    <s v="1.04.00"/>
    <s v="FP Labor - Remote Services Ctr"/>
    <s v="Labor"/>
    <s v="CO-C"/>
    <d v="2026-03-17T00:00:00"/>
    <x v="11"/>
    <x v="19"/>
    <s v="Employee"/>
    <s v="4"/>
    <s v="ORCL IN OSSI"/>
    <s v="504526 - 96V:GSC-DB &amp; Options"/>
    <s v="09B4"/>
    <s v="Y"/>
    <s v="Y"/>
    <s v="Unrecognized"/>
    <n v="8"/>
    <s v="AED"/>
    <n v="69.47"/>
    <n v="542.25"/>
    <n v="555.7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4922"/>
    <s v="1532007088:1"/>
    <s v="1.04.00"/>
    <s v="FP Labor - Remote Services Ctr"/>
    <s v="Labor"/>
    <s v="CO-C"/>
    <d v="2026-03-17T00:00:00"/>
    <x v="11"/>
    <x v="20"/>
    <s v="Employee"/>
    <s v="4"/>
    <s v="ORCL IN OSSI"/>
    <s v="504506 - 94V:GSC-eStudio"/>
    <s v="09B4"/>
    <s v="Y"/>
    <s v="Y"/>
    <s v="Unrecognized"/>
    <n v="8"/>
    <s v="AED"/>
    <n v="69.47"/>
    <n v="542.25"/>
    <n v="555.7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668"/>
    <s v="3029639061277311"/>
    <s v="1.04.00"/>
    <s v="FP Labor - Remote Services Ctr"/>
    <s v="Labor"/>
    <s v="CO-C"/>
    <d v="2026-03-17T00:00:00"/>
    <x v="11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96032"/>
    <s v="1531941332:2"/>
    <s v="1.04.00"/>
    <s v="FP Labor - Remote Services Ctr"/>
    <s v="Labor"/>
    <s v="CO-C"/>
    <d v="2026-03-17T00:00:00"/>
    <x v="11"/>
    <x v="23"/>
    <s v="Employee"/>
    <s v="5"/>
    <s v="ORCL IN OSSI"/>
    <s v="504526 - 96V:GSC-DB &amp; Options"/>
    <s v="09B1"/>
    <s v="Y"/>
    <s v="Y"/>
    <s v="Unrecognized"/>
    <n v="8"/>
    <s v="AED"/>
    <n v="69.47"/>
    <n v="660.13"/>
    <n v="555.7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19891"/>
    <s v="1532006113:2"/>
    <s v="1.04.00"/>
    <s v="FP Labor - Remote Services Ctr"/>
    <s v="Labor"/>
    <s v="CO-C"/>
    <d v="2026-03-17T00:00:00"/>
    <x v="11"/>
    <x v="31"/>
    <s v="Employee"/>
    <s v="6"/>
    <s v="ORCL IN OSSI"/>
    <s v="504506 - 94V:GSC-eStudio"/>
    <s v="09B2"/>
    <s v="Y"/>
    <s v="Y"/>
    <s v="Unrecognized"/>
    <n v="8"/>
    <s v="AED"/>
    <n v="111.63"/>
    <n v="754.44"/>
    <n v="893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80175"/>
    <s v="3029639031733111"/>
    <s v="1.04.00"/>
    <s v="FP Labor - Remote Services Ctr"/>
    <s v="Labor"/>
    <s v="CO-C"/>
    <d v="2026-03-17T00:00:00"/>
    <x v="11"/>
    <x v="24"/>
    <s v="Billable Contractor"/>
    <m/>
    <s v="ORCL IN OSSI"/>
    <s v="504526 - 96V:GSC-DB &amp; Options"/>
    <s v="009B"/>
    <s v="Y"/>
    <s v="Y"/>
    <s v="Unrecognized"/>
    <n v="8"/>
    <s v="AED"/>
    <n v="111.63"/>
    <n v="754.44"/>
    <n v="893.0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74490"/>
    <s v="1530419562:1"/>
    <s v="1.04.00"/>
    <s v="FP Labor - Remote Services Ctr"/>
    <s v="Labor"/>
    <s v="CO-C"/>
    <d v="2026-03-17T00:00:00"/>
    <x v="11"/>
    <x v="25"/>
    <s v="Employee"/>
    <s v="7"/>
    <s v="ORCL IN OSSI"/>
    <s v="504506 - 94V:GSC-eStudio"/>
    <s v="009B"/>
    <s v="Y"/>
    <s v="Y"/>
    <s v="Unrecognized"/>
    <n v="8"/>
    <s v="AED"/>
    <n v="111.63"/>
    <n v="813.38"/>
    <n v="893.0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194182"/>
    <s v="1531934668:2"/>
    <s v="1.04.00"/>
    <s v="FP Labor - Remote Services Ctr"/>
    <s v="Labor"/>
    <s v="CO-C"/>
    <d v="2026-03-17T00:00:00"/>
    <x v="11"/>
    <x v="32"/>
    <s v="Employee"/>
    <s v="5"/>
    <s v="ORCL IN OSSI"/>
    <s v="504546 - 98V:GSC-PaaS"/>
    <s v="09B2"/>
    <s v="Y"/>
    <s v="Y"/>
    <s v="Unrecognized"/>
    <n v="8"/>
    <s v="AED"/>
    <n v="69.47"/>
    <n v="660.13"/>
    <n v="555.7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9145"/>
    <s v="1532559432:1"/>
    <s v="1.04.00"/>
    <s v="FP Labor - Remote Services Ctr"/>
    <s v="Labor"/>
    <s v="CO-C"/>
    <d v="2026-03-18T00:00:00"/>
    <x v="11"/>
    <x v="27"/>
    <s v="Employee"/>
    <s v="6"/>
    <s v="ORCL IN OSSI"/>
    <s v="504526 - 96V:GSC-DB &amp; Options"/>
    <s v="09B4"/>
    <s v="Y"/>
    <s v="Y"/>
    <s v="Unrecognized"/>
    <n v="8"/>
    <s v="AED"/>
    <n v="111.68"/>
    <n v="754.44"/>
    <n v="893.4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19198"/>
    <s v="1530776097:1"/>
    <s v="1.04.00"/>
    <s v="FP Labor - Remote Services Ctr"/>
    <s v="Labor"/>
    <s v="CO-C"/>
    <d v="2026-03-18T00:00:00"/>
    <x v="11"/>
    <x v="16"/>
    <s v="Employee"/>
    <s v="5"/>
    <s v="ORCL IN OSSI"/>
    <s v="504526 - 96V:GSC-DB &amp; Options"/>
    <s v="09B1"/>
    <s v="Y"/>
    <s v="Y"/>
    <s v="Unrecognized"/>
    <n v="8"/>
    <s v="AED"/>
    <n v="69.5"/>
    <n v="660.13"/>
    <n v="556.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19871"/>
    <s v="1531996464:1"/>
    <s v="1.04.00"/>
    <s v="FP Labor - Remote Services Ctr"/>
    <s v="Labor"/>
    <s v="CO-C"/>
    <d v="2026-03-18T00:00:00"/>
    <x v="11"/>
    <x v="17"/>
    <s v="Employee"/>
    <s v="5"/>
    <s v="ORCL IN OSSI"/>
    <s v="504526 - 96V:GSC-DB &amp; Options"/>
    <s v="09B3"/>
    <s v="Y"/>
    <s v="Y"/>
    <s v="Unrecognized"/>
    <n v="8"/>
    <s v="AED"/>
    <n v="69.5"/>
    <n v="660.13"/>
    <n v="556.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0058"/>
    <s v="1530159792:1"/>
    <s v="1.04.00"/>
    <s v="FP Labor - Remote Services Ctr"/>
    <s v="Labor"/>
    <s v="CO-C"/>
    <d v="2026-03-18T00:00:00"/>
    <x v="11"/>
    <x v="18"/>
    <s v="Employee"/>
    <s v="5"/>
    <s v="ORCL IN OSSI"/>
    <s v="504526 - 96V:GSC-DB &amp; Options"/>
    <s v="09B1"/>
    <s v="Y"/>
    <s v="Y"/>
    <s v="Unrecognized"/>
    <n v="8"/>
    <s v="AED"/>
    <n v="69.5"/>
    <n v="660.13"/>
    <n v="556.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02257"/>
    <s v="1532035274:1"/>
    <s v="1.04.00"/>
    <s v="FP Labor - Remote Services Ctr"/>
    <s v="Labor"/>
    <s v="CO-C"/>
    <d v="2026-03-18T00:00:00"/>
    <x v="11"/>
    <x v="19"/>
    <s v="Employee"/>
    <s v="4"/>
    <s v="ORCL IN OSSI"/>
    <s v="504526 - 96V:GSC-DB &amp; Options"/>
    <s v="09B4"/>
    <s v="Y"/>
    <s v="Y"/>
    <s v="Unrecognized"/>
    <n v="8"/>
    <s v="AED"/>
    <n v="69.5"/>
    <n v="542.25"/>
    <n v="556.0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7807"/>
    <s v="1532007089:1"/>
    <s v="1.04.00"/>
    <s v="FP Labor - Remote Services Ctr"/>
    <s v="Labor"/>
    <s v="CO-C"/>
    <d v="2026-03-18T00:00:00"/>
    <x v="11"/>
    <x v="20"/>
    <s v="Employee"/>
    <s v="4"/>
    <s v="ORCL IN OSSI"/>
    <s v="504506 - 94V:GSC-eStudio"/>
    <s v="09B4"/>
    <s v="Y"/>
    <s v="Y"/>
    <s v="Unrecognized"/>
    <n v="8"/>
    <s v="AED"/>
    <n v="69.5"/>
    <n v="542.25"/>
    <n v="556.0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2666"/>
    <s v="3029639061277341"/>
    <s v="1.04.00"/>
    <s v="FP Labor - Remote Services Ctr"/>
    <s v="Labor"/>
    <s v="CO-C"/>
    <d v="2026-03-18T00:00:00"/>
    <x v="11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17275"/>
    <s v="1532099729:1"/>
    <s v="1.04.00"/>
    <s v="FP Labor - Remote Services Ctr"/>
    <s v="Labor"/>
    <s v="CO-C"/>
    <d v="2026-03-18T00:00:00"/>
    <x v="11"/>
    <x v="22"/>
    <s v="Employee"/>
    <s v="6"/>
    <s v="ORCL IN OSSI"/>
    <s v="504526 - 96V:GSC-DB &amp; Options"/>
    <s v="09B2"/>
    <s v="Y"/>
    <s v="Y"/>
    <s v="Unrecognized"/>
    <n v="8"/>
    <s v="AED"/>
    <n v="111.68"/>
    <n v="754.44"/>
    <n v="893.4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0842"/>
    <s v="1531941333:2"/>
    <s v="1.04.00"/>
    <s v="FP Labor - Remote Services Ctr"/>
    <s v="Labor"/>
    <s v="CO-C"/>
    <d v="2026-03-18T00:00:00"/>
    <x v="11"/>
    <x v="23"/>
    <s v="Employee"/>
    <s v="5"/>
    <s v="ORCL IN OSSI"/>
    <s v="504526 - 96V:GSC-DB &amp; Options"/>
    <s v="09B1"/>
    <s v="Y"/>
    <s v="Y"/>
    <s v="Unrecognized"/>
    <n v="8"/>
    <s v="AED"/>
    <n v="69.5"/>
    <n v="660.13"/>
    <n v="556.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12479"/>
    <s v="1532006114:2"/>
    <s v="1.04.00"/>
    <s v="FP Labor - Remote Services Ctr"/>
    <s v="Labor"/>
    <s v="CO-C"/>
    <d v="2026-03-18T00:00:00"/>
    <x v="11"/>
    <x v="31"/>
    <s v="Employee"/>
    <s v="6"/>
    <s v="ORCL IN OSSI"/>
    <s v="504506 - 94V:GSC-eStudio"/>
    <s v="09B2"/>
    <s v="Y"/>
    <s v="Y"/>
    <s v="Unrecognized"/>
    <n v="8"/>
    <s v="AED"/>
    <n v="111.68"/>
    <n v="754.44"/>
    <n v="893.4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80174"/>
    <s v="3029639031733131"/>
    <s v="1.04.00"/>
    <s v="FP Labor - Remote Services Ctr"/>
    <s v="Labor"/>
    <s v="CO-C"/>
    <d v="2026-03-18T00:00:00"/>
    <x v="11"/>
    <x v="24"/>
    <s v="Billable Contractor"/>
    <m/>
    <s v="ORCL IN OSSI"/>
    <s v="504526 - 96V:GSC-DB &amp; Options"/>
    <s v="009B"/>
    <s v="Y"/>
    <s v="Y"/>
    <s v="Unrecognized"/>
    <n v="8"/>
    <s v="AED"/>
    <n v="111.68"/>
    <n v="754.44"/>
    <n v="893.4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12571"/>
    <s v="1530419563:1"/>
    <s v="1.04.00"/>
    <s v="FP Labor - Remote Services Ctr"/>
    <s v="Labor"/>
    <s v="CO-C"/>
    <d v="2026-03-18T00:00:00"/>
    <x v="11"/>
    <x v="25"/>
    <s v="Employee"/>
    <s v="7"/>
    <s v="ORCL IN OSSI"/>
    <s v="504506 - 94V:GSC-eStudio"/>
    <s v="009B"/>
    <s v="Y"/>
    <s v="Y"/>
    <s v="Unrecognized"/>
    <n v="8"/>
    <s v="AED"/>
    <n v="111.68"/>
    <n v="813.38"/>
    <n v="893.4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21271"/>
    <s v="1531934669:2"/>
    <s v="1.04.00"/>
    <s v="FP Labor - Remote Services Ctr"/>
    <s v="Labor"/>
    <s v="CO-C"/>
    <d v="2026-03-18T00:00:00"/>
    <x v="11"/>
    <x v="32"/>
    <s v="Employee"/>
    <s v="5"/>
    <s v="ORCL IN OSSI"/>
    <s v="504546 - 98V:GSC-PaaS"/>
    <s v="09B2"/>
    <s v="Y"/>
    <s v="Y"/>
    <s v="Unrecognized"/>
    <n v="8"/>
    <s v="AED"/>
    <n v="69.5"/>
    <n v="660.13"/>
    <n v="556.0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00547"/>
    <s v="1530776098:1"/>
    <s v="1.04.00"/>
    <s v="FP Labor - Remote Services Ctr"/>
    <s v="Labor"/>
    <s v="CO-C"/>
    <d v="2026-03-19T00:00:00"/>
    <x v="11"/>
    <x v="16"/>
    <s v="Employee"/>
    <s v="5"/>
    <s v="ORCL IN OSSI"/>
    <s v="504526 - 96V:GSC-DB &amp; Options"/>
    <s v="09B1"/>
    <s v="Y"/>
    <s v="Y"/>
    <s v="Unrecognized"/>
    <n v="8"/>
    <s v="AED"/>
    <n v="69.31"/>
    <n v="660.13"/>
    <n v="554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99492"/>
    <s v="1530159793:1"/>
    <s v="1.04.00"/>
    <s v="FP Labor - Remote Services Ctr"/>
    <s v="Labor"/>
    <s v="CO-C"/>
    <d v="2026-03-19T00:00:00"/>
    <x v="11"/>
    <x v="18"/>
    <s v="Employee"/>
    <s v="5"/>
    <s v="ORCL IN OSSI"/>
    <s v="504526 - 96V:GSC-DB &amp; Options"/>
    <s v="09B1"/>
    <s v="Y"/>
    <s v="Y"/>
    <s v="Unrecognized"/>
    <n v="8"/>
    <s v="AED"/>
    <n v="69.31"/>
    <n v="660.13"/>
    <n v="554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20453"/>
    <s v="1531941517:1"/>
    <s v="1.04.00"/>
    <s v="FP Labor - Remote Services Ctr"/>
    <s v="Labor"/>
    <s v="CO-C"/>
    <d v="2026-03-19T00:00:00"/>
    <x v="11"/>
    <x v="23"/>
    <s v="Employee"/>
    <s v="5"/>
    <s v="ORCL IN OSSI"/>
    <s v="504526 - 96V:GSC-DB &amp; Options"/>
    <s v="09B1"/>
    <s v="Y"/>
    <s v="Y"/>
    <s v="Unrecognized"/>
    <n v="8"/>
    <s v="AED"/>
    <n v="69.31"/>
    <n v="660.13"/>
    <n v="554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260508"/>
    <s v="3029639031733151"/>
    <s v="1.04.00"/>
    <s v="FP Labor - Remote Services Ctr"/>
    <s v="Labor"/>
    <s v="CO-C"/>
    <d v="2026-03-19T00:00:00"/>
    <x v="11"/>
    <x v="24"/>
    <s v="Billable Contractor"/>
    <m/>
    <s v="ORCL IN OSSI"/>
    <s v="504526 - 96V:GSC-DB &amp; Options"/>
    <s v="009B"/>
    <s v="Y"/>
    <s v="Y"/>
    <s v="Unrecognized"/>
    <n v="8"/>
    <s v="AED"/>
    <n v="111.37"/>
    <n v="754.44"/>
    <n v="890.9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30441"/>
    <s v="1532559434:1"/>
    <s v="1.04.00"/>
    <s v="FP Labor - Remote Services Ctr"/>
    <s v="Labor"/>
    <s v="CO-C"/>
    <d v="2026-03-20T00:00:00"/>
    <x v="11"/>
    <x v="27"/>
    <s v="Employee"/>
    <s v="6"/>
    <s v="ORCL IN OSSI"/>
    <s v="504526 - 96V:GSC-DB &amp; Options"/>
    <s v="09B4"/>
    <s v="Y"/>
    <s v="Y"/>
    <s v="Unrecognized"/>
    <n v="8"/>
    <s v="AED"/>
    <n v="111.37"/>
    <n v="754.44"/>
    <n v="890.9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84483"/>
    <s v="1530776099:1"/>
    <s v="1.04.00"/>
    <s v="FP Labor - Remote Services Ctr"/>
    <s v="Labor"/>
    <s v="CO-C"/>
    <d v="2026-03-20T00:00:00"/>
    <x v="11"/>
    <x v="16"/>
    <s v="Employee"/>
    <s v="5"/>
    <s v="ORCL IN OSSI"/>
    <s v="504526 - 96V:GSC-DB &amp; Options"/>
    <s v="09B1"/>
    <s v="Y"/>
    <s v="Y"/>
    <s v="Unrecognized"/>
    <n v="8"/>
    <s v="AED"/>
    <n v="69.31"/>
    <n v="660.13"/>
    <n v="554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88597"/>
    <s v="1530159794:1"/>
    <s v="1.04.00"/>
    <s v="FP Labor - Remote Services Ctr"/>
    <s v="Labor"/>
    <s v="CO-C"/>
    <d v="2026-03-20T00:00:00"/>
    <x v="11"/>
    <x v="18"/>
    <s v="Employee"/>
    <s v="5"/>
    <s v="ORCL IN OSSI"/>
    <s v="504526 - 96V:GSC-DB &amp; Options"/>
    <s v="09B1"/>
    <s v="Y"/>
    <s v="Y"/>
    <s v="Unrecognized"/>
    <n v="8"/>
    <s v="AED"/>
    <n v="69.31"/>
    <n v="660.13"/>
    <n v="554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81804"/>
    <s v="1532035277:1"/>
    <s v="1.04.00"/>
    <s v="FP Labor - Remote Services Ctr"/>
    <s v="Labor"/>
    <s v="CO-C"/>
    <d v="2026-03-20T00:00:00"/>
    <x v="11"/>
    <x v="19"/>
    <s v="Employee"/>
    <s v="4"/>
    <s v="ORCL IN OSSI"/>
    <s v="504526 - 96V:GSC-DB &amp; Options"/>
    <s v="09B4"/>
    <s v="Y"/>
    <s v="Y"/>
    <s v="Unrecognized"/>
    <n v="8"/>
    <s v="AED"/>
    <n v="69.31"/>
    <n v="542.25"/>
    <n v="554.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7610"/>
    <s v="1532007091:1"/>
    <s v="1.04.00"/>
    <s v="FP Labor - Remote Services Ctr"/>
    <s v="Labor"/>
    <s v="CO-C"/>
    <d v="2026-03-20T00:00:00"/>
    <x v="11"/>
    <x v="20"/>
    <s v="Employee"/>
    <s v="4"/>
    <s v="ORCL IN OSSI"/>
    <s v="504506 - 94V:GSC-eStudio"/>
    <s v="09B4"/>
    <s v="Y"/>
    <s v="Y"/>
    <s v="Unrecognized"/>
    <n v="8"/>
    <s v="AED"/>
    <n v="69.31"/>
    <n v="542.25"/>
    <n v="554.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453917"/>
    <s v="1531773471:1"/>
    <s v="1.04.00"/>
    <s v="FP Labor - Remote Services Ctr"/>
    <s v="Labor"/>
    <s v="CO-C"/>
    <d v="2026-03-20T00:00:00"/>
    <x v="11"/>
    <x v="29"/>
    <s v="Employee"/>
    <s v="6"/>
    <s v="ORCL IN OSSI"/>
    <s v="504506 - 94V:GSC-eStudio"/>
    <s v="09B2"/>
    <s v="Y"/>
    <s v="Y"/>
    <s v="Unrecognized"/>
    <n v="8"/>
    <s v="AED"/>
    <n v="111.37"/>
    <n v="754.44"/>
    <n v="890.9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82705"/>
    <s v="1532099730:1"/>
    <s v="1.04.00"/>
    <s v="FP Labor - Remote Services Ctr"/>
    <s v="Labor"/>
    <s v="CO-C"/>
    <d v="2026-03-20T00:00:00"/>
    <x v="11"/>
    <x v="22"/>
    <s v="Employee"/>
    <s v="6"/>
    <s v="ORCL IN OSSI"/>
    <s v="504526 - 96V:GSC-DB &amp; Options"/>
    <s v="09B2"/>
    <s v="Y"/>
    <s v="Y"/>
    <s v="Unrecognized"/>
    <n v="8"/>
    <s v="AED"/>
    <n v="111.37"/>
    <n v="754.44"/>
    <n v="890.9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82451"/>
    <s v="1531941334:2"/>
    <s v="1.04.00"/>
    <s v="FP Labor - Remote Services Ctr"/>
    <s v="Labor"/>
    <s v="CO-C"/>
    <d v="2026-03-20T00:00:00"/>
    <x v="11"/>
    <x v="23"/>
    <s v="Employee"/>
    <s v="5"/>
    <s v="ORCL IN OSSI"/>
    <s v="504526 - 96V:GSC-DB &amp; Options"/>
    <s v="09B1"/>
    <s v="Y"/>
    <s v="Y"/>
    <s v="Unrecognized"/>
    <n v="8"/>
    <s v="AED"/>
    <n v="69.31"/>
    <n v="660.13"/>
    <n v="554.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87253"/>
    <s v="1532006116:2"/>
    <s v="1.04.00"/>
    <s v="FP Labor - Remote Services Ctr"/>
    <s v="Labor"/>
    <s v="CO-C"/>
    <d v="2026-03-20T00:00:00"/>
    <x v="11"/>
    <x v="31"/>
    <s v="Employee"/>
    <s v="6"/>
    <s v="ORCL IN OSSI"/>
    <s v="504506 - 94V:GSC-eStudio"/>
    <s v="09B2"/>
    <s v="Y"/>
    <s v="Y"/>
    <s v="Unrecognized"/>
    <n v="8"/>
    <s v="AED"/>
    <n v="111.37"/>
    <n v="754.44"/>
    <n v="890.9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74700"/>
    <s v="3029639031733171"/>
    <s v="1.04.00"/>
    <s v="FP Labor - Remote Services Ctr"/>
    <s v="Labor"/>
    <s v="CO-C"/>
    <d v="2026-03-20T00:00:00"/>
    <x v="11"/>
    <x v="24"/>
    <s v="Billable Contractor"/>
    <m/>
    <s v="ORCL IN OSSI"/>
    <s v="504526 - 96V:GSC-DB &amp; Options"/>
    <s v="009B"/>
    <s v="Y"/>
    <s v="Y"/>
    <s v="Unrecognized"/>
    <n v="8"/>
    <s v="AED"/>
    <n v="111.37"/>
    <n v="754.44"/>
    <n v="890.9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387861"/>
    <s v="1531934671:2"/>
    <s v="1.04.00"/>
    <s v="FP Labor - Remote Services Ctr"/>
    <s v="Labor"/>
    <s v="CO-C"/>
    <d v="2026-03-20T00:00:00"/>
    <x v="11"/>
    <x v="32"/>
    <s v="Employee"/>
    <s v="5"/>
    <s v="ORCL IN OSSI"/>
    <s v="504546 - 98V:GSC-PaaS"/>
    <s v="09B2"/>
    <s v="Y"/>
    <s v="Y"/>
    <s v="Unrecognized"/>
    <n v="4"/>
    <s v="AED"/>
    <n v="69.31"/>
    <n v="660.13"/>
    <n v="277.25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82"/>
    <s v="3029649829207791"/>
    <s v="1.04.00"/>
    <s v="FP Labor - Remote Services Ctr"/>
    <s v="Labor"/>
    <s v="CO-C"/>
    <d v="2026-03-21T00:00:00"/>
    <x v="12"/>
    <x v="34"/>
    <s v="Billable Contractor"/>
    <m/>
    <s v="ORCL AE"/>
    <s v="509485 - 73M: EMEA Business Analytics - PaaS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055"/>
    <s v="3029640522805282"/>
    <s v="1.04.00"/>
    <s v="FP Labor - Remote Services Ctr"/>
    <s v="Labor"/>
    <s v="CO-C"/>
    <d v="2026-03-21T00:00:00"/>
    <x v="12"/>
    <x v="2"/>
    <s v="Billable Contractor"/>
    <m/>
    <s v="ORCL EG"/>
    <s v="509485 - 73M: EMEA Business Analytics - PaaS"/>
    <s v="008U"/>
    <s v="Y"/>
    <s v="Y"/>
    <s v="Unrecognized"/>
    <n v="7"/>
    <s v="AED"/>
    <n v="53.97"/>
    <n v="542.25"/>
    <n v="377.8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81"/>
    <s v="3029649829207811"/>
    <s v="1.04.00"/>
    <s v="FP Labor - Remote Services Ctr"/>
    <s v="Labor"/>
    <s v="CO-C"/>
    <d v="2026-03-22T00:00:00"/>
    <x v="12"/>
    <x v="34"/>
    <s v="Billable Contractor"/>
    <m/>
    <s v="ORCL AE"/>
    <s v="509485 - 73M: EMEA Business Analytics - PaaS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051"/>
    <s v="3029640522805302"/>
    <s v="1.04.00"/>
    <s v="FP Labor - Remote Services Ctr"/>
    <s v="Labor"/>
    <s v="CO-C"/>
    <d v="2026-03-22T00:00:00"/>
    <x v="12"/>
    <x v="2"/>
    <s v="Billable Contractor"/>
    <m/>
    <s v="ORCL EG"/>
    <s v="509485 - 73M: EMEA Business Analytics - PaaS"/>
    <s v="008U"/>
    <s v="Y"/>
    <s v="Y"/>
    <s v="Unrecognized"/>
    <n v="7"/>
    <s v="AED"/>
    <n v="53.97"/>
    <n v="542.25"/>
    <n v="377.8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7990"/>
    <s v="1532559508:1"/>
    <s v="1.04.00"/>
    <s v="FP Labor - Remote Services Ctr"/>
    <s v="Labor"/>
    <s v="CO-C"/>
    <d v="2026-03-23T00:00:00"/>
    <x v="12"/>
    <x v="27"/>
    <s v="Employee"/>
    <s v="6"/>
    <s v="ORCL IN OSSI"/>
    <s v="504526 - 96V:GSC-DB &amp; Options"/>
    <s v="09B4"/>
    <s v="Y"/>
    <s v="Y"/>
    <s v="Unrecognized"/>
    <n v="8"/>
    <s v="AED"/>
    <n v="110.1"/>
    <n v="754.44"/>
    <n v="880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0719"/>
    <s v="1530776112:1"/>
    <s v="1.04.00"/>
    <s v="FP Labor - Remote Services Ctr"/>
    <s v="Labor"/>
    <s v="CO-C"/>
    <d v="2026-03-23T00:00:00"/>
    <x v="12"/>
    <x v="16"/>
    <s v="Employee"/>
    <s v="5"/>
    <s v="ORCL IN OSSI"/>
    <s v="504526 - 96V:GSC-DB &amp; Options"/>
    <s v="09B1"/>
    <s v="Y"/>
    <s v="Y"/>
    <s v="Unrecognized"/>
    <n v="8"/>
    <s v="AED"/>
    <n v="68.52"/>
    <n v="660.13"/>
    <n v="548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0350"/>
    <s v="1531996479:1"/>
    <s v="1.04.00"/>
    <s v="FP Labor - Remote Services Ctr"/>
    <s v="Labor"/>
    <s v="CO-C"/>
    <d v="2026-03-23T00:00:00"/>
    <x v="12"/>
    <x v="17"/>
    <s v="Employee"/>
    <s v="5"/>
    <s v="ORCL IN OSSI"/>
    <s v="504526 - 96V:GSC-DB &amp; Options"/>
    <s v="09B3"/>
    <s v="Y"/>
    <s v="Y"/>
    <s v="Unrecognized"/>
    <n v="8"/>
    <s v="AED"/>
    <n v="68.52"/>
    <n v="660.13"/>
    <n v="548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8929"/>
    <s v="1530159835:1"/>
    <s v="1.04.00"/>
    <s v="FP Labor - Remote Services Ctr"/>
    <s v="Labor"/>
    <s v="CO-C"/>
    <d v="2026-03-23T00:00:00"/>
    <x v="12"/>
    <x v="18"/>
    <s v="Employee"/>
    <s v="5"/>
    <s v="ORCL IN OSSI"/>
    <s v="504526 - 96V:GSC-DB &amp; Options"/>
    <s v="09B1"/>
    <s v="Y"/>
    <s v="Y"/>
    <s v="Unrecognized"/>
    <n v="8"/>
    <s v="AED"/>
    <n v="68.52"/>
    <n v="660.13"/>
    <n v="548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0436"/>
    <s v="1532035408:1"/>
    <s v="1.04.00"/>
    <s v="FP Labor - Remote Services Ctr"/>
    <s v="Labor"/>
    <s v="CO-C"/>
    <d v="2026-03-23T00:00:00"/>
    <x v="12"/>
    <x v="19"/>
    <s v="Employee"/>
    <s v="4"/>
    <s v="ORCL IN OSSI"/>
    <s v="504526 - 96V:GSC-DB &amp; Options"/>
    <s v="09B4"/>
    <s v="Y"/>
    <s v="Y"/>
    <s v="Unrecognized"/>
    <n v="8"/>
    <s v="AED"/>
    <n v="68.52"/>
    <n v="542.25"/>
    <n v="548.1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7428"/>
    <s v="1532007116:1"/>
    <s v="1.04.00"/>
    <s v="FP Labor - Remote Services Ctr"/>
    <s v="Labor"/>
    <s v="CO-C"/>
    <d v="2026-03-23T00:00:00"/>
    <x v="12"/>
    <x v="20"/>
    <s v="Employee"/>
    <s v="4"/>
    <s v="ORCL IN OSSI"/>
    <s v="504506 - 94V:GSC-eStudio"/>
    <s v="09B4"/>
    <s v="Y"/>
    <s v="Y"/>
    <s v="Unrecognized"/>
    <n v="8"/>
    <s v="AED"/>
    <n v="68.52"/>
    <n v="542.25"/>
    <n v="548.1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7309"/>
    <s v="1532785563:1"/>
    <s v="1.04.00"/>
    <s v="FP Labor - Remote Services Ctr"/>
    <s v="Labor"/>
    <s v="CO-C"/>
    <d v="2026-03-23T00:00:00"/>
    <x v="12"/>
    <x v="29"/>
    <s v="Employee"/>
    <s v="6"/>
    <s v="ORCL IN OSSI"/>
    <s v="504506 - 94V:GSC-eStudio"/>
    <s v="09B2"/>
    <s v="Y"/>
    <s v="Y"/>
    <s v="Unrecognized"/>
    <n v="8"/>
    <s v="AED"/>
    <n v="110.1"/>
    <n v="754.44"/>
    <n v="880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30920"/>
    <s v="3029639064292621"/>
    <s v="1.04.00"/>
    <s v="FP Labor - Remote Services Ctr"/>
    <s v="Labor"/>
    <s v="CO-C"/>
    <d v="2026-03-23T00:00:00"/>
    <x v="12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48042"/>
    <s v="1532817799:1"/>
    <s v="1.04.00"/>
    <s v="FP Labor - Remote Services Ctr"/>
    <s v="Labor"/>
    <s v="CO-C"/>
    <d v="2026-03-23T00:00:00"/>
    <x v="12"/>
    <x v="22"/>
    <s v="Employee"/>
    <s v="6"/>
    <s v="ORCL IN OSSI"/>
    <s v="504526 - 96V:GSC-DB &amp; Options"/>
    <s v="09B2"/>
    <s v="Y"/>
    <s v="Y"/>
    <s v="Unrecognized"/>
    <n v="8"/>
    <s v="AED"/>
    <n v="110.1"/>
    <n v="754.44"/>
    <n v="880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037"/>
    <s v="3029637683072884"/>
    <s v="1.04.00"/>
    <s v="FP Labor - Remote Services Ctr"/>
    <s v="Labor"/>
    <s v="CO-C"/>
    <d v="2026-03-23T00:00:00"/>
    <x v="12"/>
    <x v="2"/>
    <s v="Billable Contractor"/>
    <m/>
    <s v="ORCL EG"/>
    <s v="509485 - 73M: EMEA Business Analytics - PaaS"/>
    <s v="008U"/>
    <s v="Y"/>
    <s v="Y"/>
    <s v="Unrecognized"/>
    <n v="7"/>
    <s v="AED"/>
    <n v="53.97"/>
    <n v="542.25"/>
    <n v="377.8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9079"/>
    <s v="1531941378:1"/>
    <s v="1.04.00"/>
    <s v="FP Labor - Remote Services Ctr"/>
    <s v="Labor"/>
    <s v="CO-C"/>
    <d v="2026-03-23T00:00:00"/>
    <x v="12"/>
    <x v="23"/>
    <s v="Employee"/>
    <s v="5"/>
    <s v="ORCL IN OSSI"/>
    <s v="504526 - 96V:GSC-DB &amp; Options"/>
    <s v="09B1"/>
    <s v="Y"/>
    <s v="Y"/>
    <s v="Unrecognized"/>
    <n v="8"/>
    <s v="AED"/>
    <n v="68.52"/>
    <n v="660.13"/>
    <n v="548.15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27436"/>
    <s v="1532006234:4"/>
    <s v="1.04.00"/>
    <s v="FP Labor - Remote Services Ctr"/>
    <s v="Labor"/>
    <s v="CO-C"/>
    <d v="2026-03-23T00:00:00"/>
    <x v="12"/>
    <x v="31"/>
    <s v="Employee"/>
    <s v="6"/>
    <s v="ORCL IN OSSI"/>
    <s v="504506 - 94V:GSC-eStudio"/>
    <s v="09B2"/>
    <s v="Y"/>
    <s v="Y"/>
    <s v="Unrecognized"/>
    <n v="8"/>
    <s v="AED"/>
    <n v="110.1"/>
    <n v="754.44"/>
    <n v="880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16912"/>
    <s v="3029639030175771"/>
    <s v="1.04.00"/>
    <s v="FP Labor - Remote Services Ctr"/>
    <s v="Labor"/>
    <s v="CO-C"/>
    <d v="2026-03-23T00:00:00"/>
    <x v="12"/>
    <x v="24"/>
    <s v="Billable Contractor"/>
    <m/>
    <s v="ORCL IN OSSI"/>
    <s v="504526 - 96V:GSC-DB &amp; Options"/>
    <s v="009B"/>
    <s v="Y"/>
    <s v="Y"/>
    <s v="Unrecognized"/>
    <n v="8"/>
    <s v="AED"/>
    <n v="110.1"/>
    <n v="754.44"/>
    <n v="880.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1894"/>
    <s v="1532649926:1"/>
    <s v="1.04.00"/>
    <s v="FP Labor - Remote Services Ctr"/>
    <s v="Labor"/>
    <s v="CO-C"/>
    <d v="2026-03-23T00:00:00"/>
    <x v="12"/>
    <x v="25"/>
    <s v="Employee"/>
    <s v="7"/>
    <s v="ORCL IN OSSI"/>
    <s v="504506 - 94V:GSC-eStudio"/>
    <s v="009B"/>
    <s v="Y"/>
    <s v="Y"/>
    <s v="Unrecognized"/>
    <n v="8"/>
    <s v="AED"/>
    <n v="110.1"/>
    <n v="813.38"/>
    <n v="880.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17374"/>
    <s v="1532738159:1"/>
    <s v="1.04.00"/>
    <s v="FP Labor - Remote Services Ctr"/>
    <s v="Labor"/>
    <s v="CO-C"/>
    <d v="2026-03-23T00:00:00"/>
    <x v="12"/>
    <x v="32"/>
    <s v="Employee"/>
    <s v="5"/>
    <s v="ORCL IN OSSI"/>
    <s v="504546 - 98V:GSC-PaaS"/>
    <s v="09B2"/>
    <s v="Y"/>
    <s v="Y"/>
    <s v="Unrecognized"/>
    <n v="4"/>
    <s v="AED"/>
    <n v="68.52"/>
    <n v="660.13"/>
    <n v="274.08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2583"/>
    <s v="1532559504:1"/>
    <s v="1.04.00"/>
    <s v="FP Labor - Remote Services Ctr"/>
    <s v="Labor"/>
    <s v="CO-C"/>
    <d v="2026-03-24T00:00:00"/>
    <x v="12"/>
    <x v="27"/>
    <s v="Employee"/>
    <s v="6"/>
    <s v="ORCL IN OSSI"/>
    <s v="504526 - 96V:GSC-DB &amp; Options"/>
    <s v="09B4"/>
    <s v="Y"/>
    <s v="Y"/>
    <s v="Unrecognized"/>
    <n v="8"/>
    <s v="AED"/>
    <n v="109.79"/>
    <n v="754.44"/>
    <n v="878.2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2171"/>
    <s v="1530776113:1"/>
    <s v="1.04.00"/>
    <s v="FP Labor - Remote Services Ctr"/>
    <s v="Labor"/>
    <s v="CO-C"/>
    <d v="2026-03-24T00:00:00"/>
    <x v="12"/>
    <x v="16"/>
    <s v="Employee"/>
    <s v="5"/>
    <s v="ORCL IN OSSI"/>
    <s v="504526 - 96V:GSC-DB &amp; Options"/>
    <s v="09B1"/>
    <s v="Y"/>
    <s v="Y"/>
    <s v="Unrecognized"/>
    <n v="8"/>
    <s v="AED"/>
    <n v="68.319999999999993"/>
    <n v="660.13"/>
    <n v="546.5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2956"/>
    <s v="1531996483:1"/>
    <s v="1.04.00"/>
    <s v="FP Labor - Remote Services Ctr"/>
    <s v="Labor"/>
    <s v="CO-C"/>
    <d v="2026-03-24T00:00:00"/>
    <x v="12"/>
    <x v="17"/>
    <s v="Employee"/>
    <s v="5"/>
    <s v="ORCL IN OSSI"/>
    <s v="504526 - 96V:GSC-DB &amp; Options"/>
    <s v="09B3"/>
    <s v="Y"/>
    <s v="Y"/>
    <s v="Unrecognized"/>
    <n v="8"/>
    <s v="AED"/>
    <n v="68.319999999999993"/>
    <n v="660.13"/>
    <n v="546.5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2372"/>
    <s v="1530159836:1"/>
    <s v="1.04.00"/>
    <s v="FP Labor - Remote Services Ctr"/>
    <s v="Labor"/>
    <s v="CO-C"/>
    <d v="2026-03-24T00:00:00"/>
    <x v="12"/>
    <x v="18"/>
    <s v="Employee"/>
    <s v="5"/>
    <s v="ORCL IN OSSI"/>
    <s v="504526 - 96V:GSC-DB &amp; Options"/>
    <s v="09B1"/>
    <s v="Y"/>
    <s v="Y"/>
    <s v="Unrecognized"/>
    <n v="8"/>
    <s v="AED"/>
    <n v="68.319999999999993"/>
    <n v="660.13"/>
    <n v="546.5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93070"/>
    <s v="1532035409:1"/>
    <s v="1.04.00"/>
    <s v="FP Labor - Remote Services Ctr"/>
    <s v="Labor"/>
    <s v="CO-C"/>
    <d v="2026-03-24T00:00:00"/>
    <x v="12"/>
    <x v="19"/>
    <s v="Employee"/>
    <s v="4"/>
    <s v="ORCL IN OSSI"/>
    <s v="504526 - 96V:GSC-DB &amp; Options"/>
    <s v="09B4"/>
    <s v="Y"/>
    <s v="Y"/>
    <s v="Unrecognized"/>
    <n v="8"/>
    <s v="AED"/>
    <n v="68.319999999999993"/>
    <n v="542.25"/>
    <n v="546.5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2495"/>
    <s v="1532007117:1"/>
    <s v="1.04.00"/>
    <s v="FP Labor - Remote Services Ctr"/>
    <s v="Labor"/>
    <s v="CO-C"/>
    <d v="2026-03-24T00:00:00"/>
    <x v="12"/>
    <x v="20"/>
    <s v="Employee"/>
    <s v="4"/>
    <s v="ORCL IN OSSI"/>
    <s v="504506 - 94V:GSC-eStudio"/>
    <s v="09B4"/>
    <s v="Y"/>
    <s v="Y"/>
    <s v="Unrecognized"/>
    <n v="8"/>
    <s v="AED"/>
    <n v="68.319999999999993"/>
    <n v="542.25"/>
    <n v="546.59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5017"/>
    <s v="1532785562:1"/>
    <s v="1.04.00"/>
    <s v="FP Labor - Remote Services Ctr"/>
    <s v="Labor"/>
    <s v="CO-C"/>
    <d v="2026-03-24T00:00:00"/>
    <x v="12"/>
    <x v="29"/>
    <s v="Employee"/>
    <s v="6"/>
    <s v="ORCL IN OSSI"/>
    <s v="504506 - 94V:GSC-eStudio"/>
    <s v="09B2"/>
    <s v="Y"/>
    <s v="Y"/>
    <s v="Unrecognized"/>
    <n v="8"/>
    <s v="AED"/>
    <n v="109.79"/>
    <n v="754.44"/>
    <n v="878.2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6982"/>
    <s v="3029639064292651"/>
    <s v="1.04.00"/>
    <s v="FP Labor - Remote Services Ctr"/>
    <s v="Labor"/>
    <s v="CO-C"/>
    <d v="2026-03-24T00:00:00"/>
    <x v="12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45891"/>
    <s v="1532817804:1"/>
    <s v="1.04.00"/>
    <s v="FP Labor - Remote Services Ctr"/>
    <s v="Labor"/>
    <s v="CO-C"/>
    <d v="2026-03-24T00:00:00"/>
    <x v="12"/>
    <x v="22"/>
    <s v="Employee"/>
    <s v="6"/>
    <s v="ORCL IN OSSI"/>
    <s v="504526 - 96V:GSC-DB &amp; Options"/>
    <s v="09B2"/>
    <s v="Y"/>
    <s v="Y"/>
    <s v="Unrecognized"/>
    <n v="8"/>
    <s v="AED"/>
    <n v="109.79"/>
    <n v="754.44"/>
    <n v="878.2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035"/>
    <s v="3029637683072904"/>
    <s v="1.04.00"/>
    <s v="FP Labor - Remote Services Ctr"/>
    <s v="Labor"/>
    <s v="CO-C"/>
    <d v="2026-03-24T00:00:00"/>
    <x v="12"/>
    <x v="2"/>
    <s v="Billable Contractor"/>
    <m/>
    <s v="ORCL EG"/>
    <s v="509485 - 73M: EMEA Business Analytics - PaaS"/>
    <s v="008U"/>
    <s v="Y"/>
    <s v="Y"/>
    <s v="Unrecognized"/>
    <n v="7"/>
    <s v="AED"/>
    <n v="53.97"/>
    <n v="542.25"/>
    <n v="377.8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1952"/>
    <s v="1531941379:1"/>
    <s v="1.04.00"/>
    <s v="FP Labor - Remote Services Ctr"/>
    <s v="Labor"/>
    <s v="CO-C"/>
    <d v="2026-03-24T00:00:00"/>
    <x v="12"/>
    <x v="23"/>
    <s v="Employee"/>
    <s v="5"/>
    <s v="ORCL IN OSSI"/>
    <s v="504526 - 96V:GSC-DB &amp; Options"/>
    <s v="09B1"/>
    <s v="Y"/>
    <s v="Y"/>
    <s v="Unrecognized"/>
    <n v="8"/>
    <s v="AED"/>
    <n v="68.319999999999993"/>
    <n v="660.13"/>
    <n v="546.59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2657"/>
    <s v="1532006235:4"/>
    <s v="1.04.00"/>
    <s v="FP Labor - Remote Services Ctr"/>
    <s v="Labor"/>
    <s v="CO-C"/>
    <d v="2026-03-24T00:00:00"/>
    <x v="12"/>
    <x v="31"/>
    <s v="Employee"/>
    <s v="6"/>
    <s v="ORCL IN OSSI"/>
    <s v="504506 - 94V:GSC-eStudio"/>
    <s v="09B2"/>
    <s v="Y"/>
    <s v="Y"/>
    <s v="Unrecognized"/>
    <n v="8"/>
    <s v="AED"/>
    <n v="109.79"/>
    <n v="754.44"/>
    <n v="878.2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687017"/>
    <s v="3029639030175791"/>
    <s v="1.04.00"/>
    <s v="FP Labor - Remote Services Ctr"/>
    <s v="Labor"/>
    <s v="CO-C"/>
    <d v="2026-03-24T00:00:00"/>
    <x v="12"/>
    <x v="24"/>
    <s v="Billable Contractor"/>
    <m/>
    <s v="ORCL IN OSSI"/>
    <s v="504526 - 96V:GSC-DB &amp; Options"/>
    <s v="009B"/>
    <s v="Y"/>
    <s v="Y"/>
    <s v="Unrecognized"/>
    <n v="8"/>
    <s v="AED"/>
    <n v="109.79"/>
    <n v="754.44"/>
    <n v="878.2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01895"/>
    <s v="1532649921:1"/>
    <s v="1.04.00"/>
    <s v="FP Labor - Remote Services Ctr"/>
    <s v="Labor"/>
    <s v="CO-C"/>
    <d v="2026-03-24T00:00:00"/>
    <x v="12"/>
    <x v="25"/>
    <s v="Employee"/>
    <s v="7"/>
    <s v="ORCL IN OSSI"/>
    <s v="504506 - 94V:GSC-eStudio"/>
    <s v="009B"/>
    <s v="Y"/>
    <s v="Y"/>
    <s v="Unrecognized"/>
    <n v="8"/>
    <s v="AED"/>
    <n v="109.79"/>
    <n v="813.38"/>
    <n v="878.2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29638"/>
    <s v="1532738156:1"/>
    <s v="1.04.00"/>
    <s v="FP Labor - Remote Services Ctr"/>
    <s v="Labor"/>
    <s v="CO-C"/>
    <d v="2026-03-24T00:00:00"/>
    <x v="12"/>
    <x v="32"/>
    <s v="Employee"/>
    <s v="5"/>
    <s v="ORCL IN OSSI"/>
    <s v="504546 - 98V:GSC-PaaS"/>
    <s v="09B2"/>
    <s v="Y"/>
    <s v="Y"/>
    <s v="Unrecognized"/>
    <n v="4"/>
    <s v="AED"/>
    <n v="68.319999999999993"/>
    <n v="660.13"/>
    <n v="273.29000000000002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3629"/>
    <s v="1532559505:1"/>
    <s v="1.04.00"/>
    <s v="FP Labor - Remote Services Ctr"/>
    <s v="Labor"/>
    <s v="CO-C"/>
    <d v="2026-03-25T00:00:00"/>
    <x v="12"/>
    <x v="27"/>
    <s v="Employee"/>
    <s v="6"/>
    <s v="ORCL IN OSSI"/>
    <s v="504526 - 96V:GSC-DB &amp; Options"/>
    <s v="09B4"/>
    <s v="Y"/>
    <s v="Y"/>
    <s v="Unrecognized"/>
    <n v="8"/>
    <s v="AED"/>
    <n v="109.9"/>
    <n v="754.44"/>
    <n v="879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5584"/>
    <s v="1530776114:1"/>
    <s v="1.04.00"/>
    <s v="FP Labor - Remote Services Ctr"/>
    <s v="Labor"/>
    <s v="CO-C"/>
    <d v="2026-03-25T00:00:00"/>
    <x v="12"/>
    <x v="16"/>
    <s v="Employee"/>
    <s v="5"/>
    <s v="ORCL IN OSSI"/>
    <s v="504526 - 96V:GSC-DB &amp; Options"/>
    <s v="09B1"/>
    <s v="Y"/>
    <s v="Y"/>
    <s v="Unrecognized"/>
    <n v="8"/>
    <s v="AED"/>
    <n v="68.400000000000006"/>
    <n v="660.13"/>
    <n v="547.17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6333"/>
    <s v="1530159837:1"/>
    <s v="1.04.00"/>
    <s v="FP Labor - Remote Services Ctr"/>
    <s v="Labor"/>
    <s v="CO-C"/>
    <d v="2026-03-25T00:00:00"/>
    <x v="12"/>
    <x v="18"/>
    <s v="Employee"/>
    <s v="5"/>
    <s v="ORCL IN OSSI"/>
    <s v="504526 - 96V:GSC-DB &amp; Options"/>
    <s v="09B1"/>
    <s v="Y"/>
    <s v="Y"/>
    <s v="Unrecognized"/>
    <n v="8"/>
    <s v="AED"/>
    <n v="68.400000000000006"/>
    <n v="660.13"/>
    <n v="547.17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5363"/>
    <s v="1532035410:1"/>
    <s v="1.04.00"/>
    <s v="FP Labor - Remote Services Ctr"/>
    <s v="Labor"/>
    <s v="CO-C"/>
    <d v="2026-03-25T00:00:00"/>
    <x v="12"/>
    <x v="19"/>
    <s v="Employee"/>
    <s v="4"/>
    <s v="ORCL IN OSSI"/>
    <s v="504526 - 96V:GSC-DB &amp; Options"/>
    <s v="09B4"/>
    <s v="Y"/>
    <s v="Y"/>
    <s v="Unrecognized"/>
    <n v="8"/>
    <s v="AED"/>
    <n v="68.400000000000006"/>
    <n v="542.25"/>
    <n v="547.17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5130"/>
    <s v="1532007118:1"/>
    <s v="1.04.00"/>
    <s v="FP Labor - Remote Services Ctr"/>
    <s v="Labor"/>
    <s v="CO-C"/>
    <d v="2026-03-25T00:00:00"/>
    <x v="12"/>
    <x v="20"/>
    <s v="Employee"/>
    <s v="4"/>
    <s v="ORCL IN OSSI"/>
    <s v="504506 - 94V:GSC-eStudio"/>
    <s v="09B4"/>
    <s v="Y"/>
    <s v="Y"/>
    <s v="Unrecognized"/>
    <n v="8"/>
    <s v="AED"/>
    <n v="68.400000000000006"/>
    <n v="542.25"/>
    <n v="547.17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8180"/>
    <s v="1532785561:1"/>
    <s v="1.04.00"/>
    <s v="FP Labor - Remote Services Ctr"/>
    <s v="Labor"/>
    <s v="CO-C"/>
    <d v="2026-03-25T00:00:00"/>
    <x v="12"/>
    <x v="29"/>
    <s v="Employee"/>
    <s v="6"/>
    <s v="ORCL IN OSSI"/>
    <s v="504506 - 94V:GSC-eStudio"/>
    <s v="09B2"/>
    <s v="Y"/>
    <s v="Y"/>
    <s v="Unrecognized"/>
    <n v="8"/>
    <s v="AED"/>
    <n v="109.9"/>
    <n v="754.44"/>
    <n v="879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2505"/>
    <s v="3029639064292681"/>
    <s v="1.04.00"/>
    <s v="FP Labor - Remote Services Ctr"/>
    <s v="Labor"/>
    <s v="CO-C"/>
    <d v="2026-03-25T00:00:00"/>
    <x v="12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47109"/>
    <s v="1532817800:1"/>
    <s v="1.04.00"/>
    <s v="FP Labor - Remote Services Ctr"/>
    <s v="Labor"/>
    <s v="CO-C"/>
    <d v="2026-03-25T00:00:00"/>
    <x v="12"/>
    <x v="22"/>
    <s v="Employee"/>
    <s v="6"/>
    <s v="ORCL IN OSSI"/>
    <s v="504526 - 96V:GSC-DB &amp; Options"/>
    <s v="09B2"/>
    <s v="Y"/>
    <s v="Y"/>
    <s v="Unrecognized"/>
    <n v="8"/>
    <s v="AED"/>
    <n v="109.9"/>
    <n v="754.44"/>
    <n v="879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3683"/>
    <s v="1531941380:1"/>
    <s v="1.04.00"/>
    <s v="FP Labor - Remote Services Ctr"/>
    <s v="Labor"/>
    <s v="CO-C"/>
    <d v="2026-03-25T00:00:00"/>
    <x v="12"/>
    <x v="23"/>
    <s v="Employee"/>
    <s v="5"/>
    <s v="ORCL IN OSSI"/>
    <s v="504526 - 96V:GSC-DB &amp; Options"/>
    <s v="09B1"/>
    <s v="Y"/>
    <s v="Y"/>
    <s v="Unrecognized"/>
    <n v="8"/>
    <s v="AED"/>
    <n v="68.400000000000006"/>
    <n v="660.13"/>
    <n v="547.17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6456"/>
    <s v="1532006236:4"/>
    <s v="1.04.00"/>
    <s v="FP Labor - Remote Services Ctr"/>
    <s v="Labor"/>
    <s v="CO-C"/>
    <d v="2026-03-25T00:00:00"/>
    <x v="12"/>
    <x v="31"/>
    <s v="Employee"/>
    <s v="6"/>
    <s v="ORCL IN OSSI"/>
    <s v="504506 - 94V:GSC-eStudio"/>
    <s v="09B2"/>
    <s v="Y"/>
    <s v="Y"/>
    <s v="Unrecognized"/>
    <n v="8"/>
    <s v="AED"/>
    <n v="109.9"/>
    <n v="754.44"/>
    <n v="879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53049"/>
    <s v="3029639030175811"/>
    <s v="1.04.00"/>
    <s v="FP Labor - Remote Services Ctr"/>
    <s v="Labor"/>
    <s v="CO-C"/>
    <d v="2026-03-25T00:00:00"/>
    <x v="12"/>
    <x v="24"/>
    <s v="Billable Contractor"/>
    <m/>
    <s v="ORCL IN OSSI"/>
    <s v="504526 - 96V:GSC-DB &amp; Options"/>
    <s v="009B"/>
    <s v="Y"/>
    <s v="Y"/>
    <s v="Unrecognized"/>
    <n v="8"/>
    <s v="AED"/>
    <n v="109.9"/>
    <n v="754.44"/>
    <n v="879.2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5318"/>
    <s v="1532649922:1"/>
    <s v="1.04.00"/>
    <s v="FP Labor - Remote Services Ctr"/>
    <s v="Labor"/>
    <s v="CO-C"/>
    <d v="2026-03-25T00:00:00"/>
    <x v="12"/>
    <x v="25"/>
    <s v="Employee"/>
    <s v="7"/>
    <s v="ORCL IN OSSI"/>
    <s v="504506 - 94V:GSC-eStudio"/>
    <s v="009B"/>
    <s v="Y"/>
    <s v="Y"/>
    <s v="Unrecognized"/>
    <n v="8"/>
    <s v="AED"/>
    <n v="109.9"/>
    <n v="813.38"/>
    <n v="879.2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766017"/>
    <s v="1532738157:1"/>
    <s v="1.04.00"/>
    <s v="FP Labor - Remote Services Ctr"/>
    <s v="Labor"/>
    <s v="CO-C"/>
    <d v="2026-03-25T00:00:00"/>
    <x v="12"/>
    <x v="32"/>
    <s v="Employee"/>
    <s v="5"/>
    <s v="ORCL IN OSSI"/>
    <s v="504546 - 98V:GSC-PaaS"/>
    <s v="09B2"/>
    <s v="Y"/>
    <s v="Y"/>
    <s v="Unrecognized"/>
    <n v="4"/>
    <s v="AED"/>
    <n v="68.400000000000006"/>
    <n v="660.13"/>
    <n v="273.58999999999997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52896"/>
    <s v="1532559506:1"/>
    <s v="1.04.00"/>
    <s v="FP Labor - Remote Services Ctr"/>
    <s v="Labor"/>
    <s v="CO-C"/>
    <d v="2026-03-26T00:00:00"/>
    <x v="12"/>
    <x v="27"/>
    <s v="Employee"/>
    <s v="6"/>
    <s v="ORCL IN OSSI"/>
    <s v="504526 - 96V:GSC-DB &amp; Options"/>
    <s v="09B4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56528"/>
    <s v="1530776115:1"/>
    <s v="1.04.00"/>
    <s v="FP Labor - Remote Services Ctr"/>
    <s v="Labor"/>
    <s v="CO-C"/>
    <d v="2026-03-26T00:00:00"/>
    <x v="12"/>
    <x v="16"/>
    <s v="Employee"/>
    <s v="5"/>
    <s v="ORCL IN OSSI"/>
    <s v="504526 - 96V:GSC-DB &amp; Options"/>
    <s v="09B1"/>
    <s v="Y"/>
    <s v="Y"/>
    <s v="Unrecognized"/>
    <n v="8"/>
    <s v="AED"/>
    <n v="68.33"/>
    <n v="660.13"/>
    <n v="546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58137"/>
    <s v="1531996482:1"/>
    <s v="1.04.00"/>
    <s v="FP Labor - Remote Services Ctr"/>
    <s v="Labor"/>
    <s v="CO-C"/>
    <d v="2026-03-26T00:00:00"/>
    <x v="12"/>
    <x v="17"/>
    <s v="Employee"/>
    <s v="5"/>
    <s v="ORCL IN OSSI"/>
    <s v="504526 - 96V:GSC-DB &amp; Options"/>
    <s v="09B3"/>
    <s v="Y"/>
    <s v="Y"/>
    <s v="Unrecognized"/>
    <n v="8"/>
    <s v="AED"/>
    <n v="68.33"/>
    <n v="660.13"/>
    <n v="546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55821"/>
    <s v="1530159838:1"/>
    <s v="1.04.00"/>
    <s v="FP Labor - Remote Services Ctr"/>
    <s v="Labor"/>
    <s v="CO-C"/>
    <d v="2026-03-26T00:00:00"/>
    <x v="12"/>
    <x v="18"/>
    <s v="Employee"/>
    <s v="5"/>
    <s v="ORCL IN OSSI"/>
    <s v="504526 - 96V:GSC-DB &amp; Options"/>
    <s v="09B1"/>
    <s v="Y"/>
    <s v="Y"/>
    <s v="Unrecognized"/>
    <n v="8"/>
    <s v="AED"/>
    <n v="68.33"/>
    <n v="660.13"/>
    <n v="546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61034"/>
    <s v="1532035411:1"/>
    <s v="1.04.00"/>
    <s v="FP Labor - Remote Services Ctr"/>
    <s v="Labor"/>
    <s v="CO-C"/>
    <d v="2026-03-26T00:00:00"/>
    <x v="12"/>
    <x v="19"/>
    <s v="Employee"/>
    <s v="4"/>
    <s v="ORCL IN OSSI"/>
    <s v="504526 - 96V:GSC-DB &amp; Options"/>
    <s v="09B4"/>
    <s v="Y"/>
    <s v="Y"/>
    <s v="Unrecognized"/>
    <n v="8"/>
    <s v="AED"/>
    <n v="68.33"/>
    <n v="542.25"/>
    <n v="546.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53922"/>
    <s v="1532007119:1"/>
    <s v="1.04.00"/>
    <s v="FP Labor - Remote Services Ctr"/>
    <s v="Labor"/>
    <s v="CO-C"/>
    <d v="2026-03-26T00:00:00"/>
    <x v="12"/>
    <x v="20"/>
    <s v="Employee"/>
    <s v="4"/>
    <s v="ORCL IN OSSI"/>
    <s v="504506 - 94V:GSC-eStudio"/>
    <s v="09B4"/>
    <s v="Y"/>
    <s v="Y"/>
    <s v="Unrecognized"/>
    <n v="8"/>
    <s v="AED"/>
    <n v="68.33"/>
    <n v="542.25"/>
    <n v="546.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60511"/>
    <s v="1532785560:1"/>
    <s v="1.04.00"/>
    <s v="FP Labor - Remote Services Ctr"/>
    <s v="Labor"/>
    <s v="CO-C"/>
    <d v="2026-03-26T00:00:00"/>
    <x v="12"/>
    <x v="29"/>
    <s v="Employee"/>
    <s v="6"/>
    <s v="ORCL IN OSSI"/>
    <s v="504506 - 94V:GSC-eStudio"/>
    <s v="09B2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52681"/>
    <s v="3029639064292711"/>
    <s v="1.04.00"/>
    <s v="FP Labor - Remote Services Ctr"/>
    <s v="Labor"/>
    <s v="CO-C"/>
    <d v="2026-03-26T00:00:00"/>
    <x v="12"/>
    <x v="12"/>
    <s v="Billable Contractor"/>
    <m/>
    <s v="ORCL EG"/>
    <s v="509335 - U3K-EMEA Tech Delivery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62754"/>
    <s v="1532817803:1"/>
    <s v="1.04.00"/>
    <s v="FP Labor - Remote Services Ctr"/>
    <s v="Labor"/>
    <s v="CO-C"/>
    <d v="2026-03-26T00:00:00"/>
    <x v="12"/>
    <x v="22"/>
    <s v="Employee"/>
    <s v="6"/>
    <s v="ORCL IN OSSI"/>
    <s v="504526 - 96V:GSC-DB &amp; Options"/>
    <s v="09B2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56620"/>
    <s v="1531941382:1"/>
    <s v="1.04.00"/>
    <s v="FP Labor - Remote Services Ctr"/>
    <s v="Labor"/>
    <s v="CO-C"/>
    <d v="2026-03-26T00:00:00"/>
    <x v="12"/>
    <x v="23"/>
    <s v="Employee"/>
    <s v="5"/>
    <s v="ORCL IN OSSI"/>
    <s v="504526 - 96V:GSC-DB &amp; Options"/>
    <s v="09B1"/>
    <s v="Y"/>
    <s v="Y"/>
    <s v="Unrecognized"/>
    <n v="8"/>
    <s v="AED"/>
    <n v="68.33"/>
    <n v="660.13"/>
    <n v="546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60154"/>
    <s v="1532006237:4"/>
    <s v="1.04.00"/>
    <s v="FP Labor - Remote Services Ctr"/>
    <s v="Labor"/>
    <s v="CO-C"/>
    <d v="2026-03-26T00:00:00"/>
    <x v="12"/>
    <x v="31"/>
    <s v="Employee"/>
    <s v="6"/>
    <s v="ORCL IN OSSI"/>
    <s v="504506 - 94V:GSC-eStudio"/>
    <s v="09B2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27741"/>
    <s v="3029639030175831"/>
    <s v="1.04.00"/>
    <s v="FP Labor - Remote Services Ctr"/>
    <s v="Labor"/>
    <s v="CO-C"/>
    <d v="2026-03-26T00:00:00"/>
    <x v="12"/>
    <x v="24"/>
    <s v="Billable Contractor"/>
    <m/>
    <s v="ORCL IN OSSI"/>
    <s v="504526 - 96V:GSC-DB &amp; Options"/>
    <s v="009B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63706"/>
    <s v="1532649925:1"/>
    <s v="1.04.00"/>
    <s v="FP Labor - Remote Services Ctr"/>
    <s v="Labor"/>
    <s v="CO-C"/>
    <d v="2026-03-26T00:00:00"/>
    <x v="12"/>
    <x v="25"/>
    <s v="Employee"/>
    <s v="7"/>
    <s v="ORCL IN OSSI"/>
    <s v="504506 - 94V:GSC-eStudio"/>
    <s v="009B"/>
    <s v="Y"/>
    <s v="Y"/>
    <s v="Unrecognized"/>
    <n v="8"/>
    <s v="AED"/>
    <n v="109.79"/>
    <n v="813.38"/>
    <n v="878.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859812"/>
    <s v="1532738158:1"/>
    <s v="1.04.00"/>
    <s v="FP Labor - Remote Services Ctr"/>
    <s v="Labor"/>
    <s v="CO-C"/>
    <d v="2026-03-26T00:00:00"/>
    <x v="12"/>
    <x v="32"/>
    <s v="Employee"/>
    <s v="5"/>
    <s v="ORCL IN OSSI"/>
    <s v="504546 - 98V:GSC-PaaS"/>
    <s v="09B2"/>
    <s v="Y"/>
    <s v="Y"/>
    <s v="Unrecognized"/>
    <n v="4"/>
    <s v="AED"/>
    <n v="68.33"/>
    <n v="660.13"/>
    <n v="273.3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4910"/>
    <s v="1532559507:1"/>
    <s v="1.04.00"/>
    <s v="FP Labor - Remote Services Ctr"/>
    <s v="Labor"/>
    <s v="CO-C"/>
    <d v="2026-03-27T00:00:00"/>
    <x v="12"/>
    <x v="27"/>
    <s v="Employee"/>
    <s v="6"/>
    <s v="ORCL IN OSSI"/>
    <s v="504526 - 96V:GSC-DB &amp; Options"/>
    <s v="09B4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4441"/>
    <s v="1530776116:1"/>
    <s v="1.04.00"/>
    <s v="FP Labor - Remote Services Ctr"/>
    <s v="Labor"/>
    <s v="CO-C"/>
    <d v="2026-03-27T00:00:00"/>
    <x v="12"/>
    <x v="16"/>
    <s v="Employee"/>
    <s v="5"/>
    <s v="ORCL IN OSSI"/>
    <s v="504526 - 96V:GSC-DB &amp; Options"/>
    <s v="09B1"/>
    <s v="Y"/>
    <s v="Y"/>
    <s v="Unrecognized"/>
    <n v="8"/>
    <s v="AED"/>
    <n v="68.33"/>
    <n v="660.13"/>
    <n v="546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8148"/>
    <s v="1531996481:1"/>
    <s v="1.04.00"/>
    <s v="FP Labor - Remote Services Ctr"/>
    <s v="Labor"/>
    <s v="CO-C"/>
    <d v="2026-03-27T00:00:00"/>
    <x v="12"/>
    <x v="17"/>
    <s v="Employee"/>
    <s v="5"/>
    <s v="ORCL IN OSSI"/>
    <s v="504526 - 96V:GSC-DB &amp; Options"/>
    <s v="09B3"/>
    <s v="Y"/>
    <s v="Y"/>
    <s v="Unrecognized"/>
    <n v="8"/>
    <s v="AED"/>
    <n v="68.33"/>
    <n v="660.13"/>
    <n v="546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6954"/>
    <s v="1530159839:1"/>
    <s v="1.04.00"/>
    <s v="FP Labor - Remote Services Ctr"/>
    <s v="Labor"/>
    <s v="CO-C"/>
    <d v="2026-03-27T00:00:00"/>
    <x v="12"/>
    <x v="18"/>
    <s v="Employee"/>
    <s v="5"/>
    <s v="ORCL IN OSSI"/>
    <s v="504526 - 96V:GSC-DB &amp; Options"/>
    <s v="09B1"/>
    <s v="Y"/>
    <s v="Y"/>
    <s v="Unrecognized"/>
    <n v="8"/>
    <s v="AED"/>
    <n v="68.33"/>
    <n v="660.13"/>
    <n v="546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2135"/>
    <s v="1532035412:1"/>
    <s v="1.04.00"/>
    <s v="FP Labor - Remote Services Ctr"/>
    <s v="Labor"/>
    <s v="CO-C"/>
    <d v="2026-03-27T00:00:00"/>
    <x v="12"/>
    <x v="19"/>
    <s v="Employee"/>
    <s v="4"/>
    <s v="ORCL IN OSSI"/>
    <s v="504526 - 96V:GSC-DB &amp; Options"/>
    <s v="09B4"/>
    <s v="Y"/>
    <s v="Y"/>
    <s v="Unrecognized"/>
    <n v="8"/>
    <s v="AED"/>
    <n v="68.33"/>
    <n v="542.25"/>
    <n v="546.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4424"/>
    <s v="1532007120:1"/>
    <s v="1.04.00"/>
    <s v="FP Labor - Remote Services Ctr"/>
    <s v="Labor"/>
    <s v="CO-C"/>
    <d v="2026-03-27T00:00:00"/>
    <x v="12"/>
    <x v="20"/>
    <s v="Employee"/>
    <s v="4"/>
    <s v="ORCL IN OSSI"/>
    <s v="504506 - 94V:GSC-eStudio"/>
    <s v="09B4"/>
    <s v="Y"/>
    <s v="Y"/>
    <s v="Unrecognized"/>
    <n v="8"/>
    <s v="AED"/>
    <n v="68.33"/>
    <n v="542.25"/>
    <n v="546.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8461"/>
    <s v="1532785559:1"/>
    <s v="1.04.00"/>
    <s v="FP Labor - Remote Services Ctr"/>
    <s v="Labor"/>
    <s v="CO-C"/>
    <d v="2026-03-27T00:00:00"/>
    <x v="12"/>
    <x v="29"/>
    <s v="Employee"/>
    <s v="6"/>
    <s v="ORCL IN OSSI"/>
    <s v="504506 - 94V:GSC-eStudio"/>
    <s v="09B2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5079"/>
    <s v="1532817802:1"/>
    <s v="1.04.00"/>
    <s v="FP Labor - Remote Services Ctr"/>
    <s v="Labor"/>
    <s v="CO-C"/>
    <d v="2026-03-27T00:00:00"/>
    <x v="12"/>
    <x v="22"/>
    <s v="Employee"/>
    <s v="6"/>
    <s v="ORCL IN OSSI"/>
    <s v="504526 - 96V:GSC-DB &amp; Options"/>
    <s v="09B2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5388"/>
    <s v="1531941381:1"/>
    <s v="1.04.00"/>
    <s v="FP Labor - Remote Services Ctr"/>
    <s v="Labor"/>
    <s v="CO-C"/>
    <d v="2026-03-27T00:00:00"/>
    <x v="12"/>
    <x v="23"/>
    <s v="Employee"/>
    <s v="5"/>
    <s v="ORCL IN OSSI"/>
    <s v="504526 - 96V:GSC-DB &amp; Options"/>
    <s v="09B1"/>
    <s v="Y"/>
    <s v="Y"/>
    <s v="Unrecognized"/>
    <n v="8"/>
    <s v="AED"/>
    <n v="68.33"/>
    <n v="660.13"/>
    <n v="546.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3156"/>
    <s v="1532006238:4"/>
    <s v="1.04.00"/>
    <s v="FP Labor - Remote Services Ctr"/>
    <s v="Labor"/>
    <s v="CO-C"/>
    <d v="2026-03-27T00:00:00"/>
    <x v="12"/>
    <x v="31"/>
    <s v="Employee"/>
    <s v="6"/>
    <s v="ORCL IN OSSI"/>
    <s v="504506 - 94V:GSC-eStudio"/>
    <s v="09B2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30175"/>
    <s v="3029639030175851"/>
    <s v="1.04.00"/>
    <s v="FP Labor - Remote Services Ctr"/>
    <s v="Labor"/>
    <s v="CO-C"/>
    <d v="2026-03-27T00:00:00"/>
    <x v="12"/>
    <x v="24"/>
    <s v="Billable Contractor"/>
    <m/>
    <s v="ORCL IN OSSI"/>
    <s v="504526 - 96V:GSC-DB &amp; Options"/>
    <s v="009B"/>
    <s v="Y"/>
    <s v="Y"/>
    <s v="Unrecognized"/>
    <n v="8"/>
    <s v="AED"/>
    <n v="109.79"/>
    <n v="754.44"/>
    <n v="878.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6985346"/>
    <s v="1532649924:1"/>
    <s v="1.04.00"/>
    <s v="FP Labor - Remote Services Ctr"/>
    <s v="Labor"/>
    <s v="CO-C"/>
    <d v="2026-03-27T00:00:00"/>
    <x v="12"/>
    <x v="25"/>
    <s v="Employee"/>
    <s v="7"/>
    <s v="ORCL IN OSSI"/>
    <s v="504506 - 94V:GSC-eStudio"/>
    <s v="009B"/>
    <s v="Y"/>
    <s v="Y"/>
    <s v="Unrecognized"/>
    <n v="8"/>
    <s v="AED"/>
    <n v="109.79"/>
    <n v="813.38"/>
    <n v="878.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86"/>
    <s v="3029649832162571"/>
    <s v="1.04.00"/>
    <s v="FP Labor - Remote Services Ctr"/>
    <s v="Labor"/>
    <s v="CO-C"/>
    <d v="2026-03-28T00:00:00"/>
    <x v="13"/>
    <x v="34"/>
    <s v="Billable Contractor"/>
    <m/>
    <s v="ORCL AE"/>
    <s v="509485 - 73M: EMEA Business Analytics - PaaS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971"/>
    <s v="3029640524108042"/>
    <s v="1.04.00"/>
    <s v="FP Labor - Remote Services Ctr"/>
    <s v="Labor"/>
    <s v="CO-C"/>
    <d v="2026-03-28T00:00:00"/>
    <x v="13"/>
    <x v="2"/>
    <s v="Billable Contractor"/>
    <m/>
    <s v="ORCL EG"/>
    <s v="509485 - 73M: EMEA Business Analytics - PaaS"/>
    <s v="008U"/>
    <s v="Y"/>
    <s v="Y"/>
    <s v="Unrecognized"/>
    <n v="7"/>
    <s v="AED"/>
    <n v="53.56"/>
    <n v="542.25"/>
    <n v="374.9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85"/>
    <s v="3029649832162591"/>
    <s v="1.04.00"/>
    <s v="FP Labor - Remote Services Ctr"/>
    <s v="Labor"/>
    <s v="CO-C"/>
    <d v="2026-03-29T00:00:00"/>
    <x v="13"/>
    <x v="34"/>
    <s v="Billable Contractor"/>
    <m/>
    <s v="ORCL AE"/>
    <s v="509485 - 73M: EMEA Business Analytics - PaaS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977"/>
    <s v="3029640524108062"/>
    <s v="1.04.00"/>
    <s v="FP Labor - Remote Services Ctr"/>
    <s v="Labor"/>
    <s v="CO-C"/>
    <d v="2026-03-29T00:00:00"/>
    <x v="13"/>
    <x v="2"/>
    <s v="Billable Contractor"/>
    <m/>
    <s v="ORCL EG"/>
    <s v="509485 - 73M: EMEA Business Analytics - PaaS"/>
    <s v="008U"/>
    <s v="Y"/>
    <s v="Y"/>
    <s v="Unrecognized"/>
    <n v="7"/>
    <s v="AED"/>
    <n v="53.56"/>
    <n v="542.25"/>
    <n v="374.9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84"/>
    <s v="3029649832842621"/>
    <s v="1.04.00"/>
    <s v="FP Labor - Remote Services Ctr"/>
    <s v="Labor"/>
    <s v="CO-C"/>
    <d v="2026-03-30T00:00:00"/>
    <x v="13"/>
    <x v="34"/>
    <s v="Billable Contractor"/>
    <m/>
    <s v="ORCL AE"/>
    <s v="509485 - 73M: EMEA Business Analytics - PaaS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18416"/>
    <s v="1532559644:1"/>
    <s v="1.04.00"/>
    <s v="FP Labor - Remote Services Ctr"/>
    <s v="Labor"/>
    <s v="CO-C"/>
    <d v="2026-03-30T00:00:00"/>
    <x v="13"/>
    <x v="27"/>
    <s v="Employee"/>
    <s v="6"/>
    <s v="ORCL IN OSSI"/>
    <s v="504526 - 96V:GSC-DB &amp; Options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7263"/>
    <s v="1530776129:1"/>
    <s v="1.04.00"/>
    <s v="FP Labor - Remote Services Ctr"/>
    <s v="Labor"/>
    <s v="CO-C"/>
    <d v="2026-03-30T00:00:00"/>
    <x v="13"/>
    <x v="16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2764"/>
    <s v="1531996496:1"/>
    <s v="1.04.00"/>
    <s v="FP Labor - Remote Services Ctr"/>
    <s v="Labor"/>
    <s v="CO-C"/>
    <d v="2026-03-30T00:00:00"/>
    <x v="13"/>
    <x v="17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18120"/>
    <s v="1530159863:1"/>
    <s v="1.04.00"/>
    <s v="FP Labor - Remote Services Ctr"/>
    <s v="Labor"/>
    <s v="CO-C"/>
    <d v="2026-03-30T00:00:00"/>
    <x v="13"/>
    <x v="18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85942"/>
    <s v="1532035475:1"/>
    <s v="1.04.00"/>
    <s v="FP Labor - Remote Services Ctr"/>
    <s v="Labor"/>
    <s v="CO-C"/>
    <d v="2026-03-30T00:00:00"/>
    <x v="13"/>
    <x v="19"/>
    <s v="Employee"/>
    <s v="4"/>
    <s v="ORCL IN OSSI"/>
    <s v="504526 - 96V:GSC-DB &amp; Options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1834"/>
    <s v="1532007153:1"/>
    <s v="1.04.00"/>
    <s v="FP Labor - Remote Services Ctr"/>
    <s v="Labor"/>
    <s v="CO-C"/>
    <d v="2026-03-30T00:00:00"/>
    <x v="13"/>
    <x v="20"/>
    <s v="Employee"/>
    <s v="4"/>
    <s v="ORCL IN OSSI"/>
    <s v="504506 - 94V:GSC-eStudio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85427"/>
    <s v="1532785656:1"/>
    <s v="1.04.00"/>
    <s v="FP Labor - Remote Services Ctr"/>
    <s v="Labor"/>
    <s v="CO-C"/>
    <d v="2026-03-30T00:00:00"/>
    <x v="13"/>
    <x v="29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239"/>
    <s v="3029639061849161"/>
    <s v="1.04.00"/>
    <s v="FP Labor - Remote Services Ctr"/>
    <s v="Labor"/>
    <s v="CO-C"/>
    <d v="2026-03-30T00:00:00"/>
    <x v="13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6493"/>
    <s v="1532819822:1"/>
    <s v="1.04.00"/>
    <s v="FP Labor - Remote Services Ctr"/>
    <s v="Labor"/>
    <s v="CO-C"/>
    <d v="2026-03-30T00:00:00"/>
    <x v="13"/>
    <x v="22"/>
    <s v="Employee"/>
    <s v="6"/>
    <s v="ORCL IN OSSI"/>
    <s v="504526 - 96V:GSC-DB &amp; Options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976"/>
    <s v="3029640524108082"/>
    <s v="1.04.00"/>
    <s v="FP Labor - Remote Services Ctr"/>
    <s v="Labor"/>
    <s v="CO-C"/>
    <d v="2026-03-30T00:00:00"/>
    <x v="13"/>
    <x v="2"/>
    <s v="Billable Contractor"/>
    <m/>
    <s v="ORCL EG"/>
    <s v="509485 - 73M: EMEA Business Analytics - PaaS"/>
    <s v="008U"/>
    <s v="Y"/>
    <s v="Y"/>
    <s v="Unrecognized"/>
    <n v="7"/>
    <s v="AED"/>
    <n v="53.56"/>
    <n v="542.25"/>
    <n v="374.9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7234"/>
    <s v="1531941395:1"/>
    <s v="1.04.00"/>
    <s v="FP Labor - Remote Services Ctr"/>
    <s v="Labor"/>
    <s v="CO-C"/>
    <d v="2026-03-30T00:00:00"/>
    <x v="13"/>
    <x v="23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3179"/>
    <s v="1532006347:2"/>
    <s v="1.04.00"/>
    <s v="FP Labor - Remote Services Ctr"/>
    <s v="Labor"/>
    <s v="CO-C"/>
    <d v="2026-03-30T00:00:00"/>
    <x v="13"/>
    <x v="31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44109"/>
    <s v="3029639032247471"/>
    <s v="1.04.00"/>
    <s v="FP Labor - Remote Services Ctr"/>
    <s v="Labor"/>
    <s v="CO-C"/>
    <d v="2026-03-30T00:00:00"/>
    <x v="13"/>
    <x v="24"/>
    <s v="Billable Contractor"/>
    <m/>
    <s v="ORCL IN OSSI"/>
    <s v="504526 - 96V:GSC-DB &amp; Options"/>
    <s v="009B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7576"/>
    <s v="1532649967:1"/>
    <s v="1.04.00"/>
    <s v="FP Labor - Remote Services Ctr"/>
    <s v="Labor"/>
    <s v="CO-C"/>
    <d v="2026-03-30T00:00:00"/>
    <x v="13"/>
    <x v="25"/>
    <s v="Employee"/>
    <s v="7"/>
    <s v="ORCL IN OSSI"/>
    <s v="504506 - 94V:GSC-eStudio"/>
    <s v="009B"/>
    <s v="Y"/>
    <s v="Y"/>
    <s v="Unrecognized"/>
    <n v="8"/>
    <s v="AED"/>
    <n v="109.81"/>
    <n v="813.38"/>
    <n v="878.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83"/>
    <s v="3029649832842651"/>
    <s v="1.04.00"/>
    <s v="FP Labor - Remote Services Ctr"/>
    <s v="Labor"/>
    <s v="CO-C"/>
    <d v="2026-03-31T00:00:00"/>
    <x v="13"/>
    <x v="34"/>
    <s v="Billable Contractor"/>
    <m/>
    <s v="ORCL AE"/>
    <s v="509485 - 73M: EMEA Business Analytics - PaaS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77256"/>
    <s v="1532559645:1"/>
    <s v="1.04.00"/>
    <s v="FP Labor - Remote Services Ctr"/>
    <s v="Labor"/>
    <s v="CO-C"/>
    <d v="2026-03-31T00:00:00"/>
    <x v="13"/>
    <x v="27"/>
    <s v="Employee"/>
    <s v="6"/>
    <s v="ORCL IN OSSI"/>
    <s v="504526 - 96V:GSC-DB &amp; Options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3152"/>
    <s v="1530776130:1"/>
    <s v="1.04.00"/>
    <s v="FP Labor - Remote Services Ctr"/>
    <s v="Labor"/>
    <s v="CO-C"/>
    <d v="2026-03-31T00:00:00"/>
    <x v="13"/>
    <x v="16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6860"/>
    <s v="1531996497:1"/>
    <s v="1.04.00"/>
    <s v="FP Labor - Remote Services Ctr"/>
    <s v="Labor"/>
    <s v="CO-C"/>
    <d v="2026-03-31T00:00:00"/>
    <x v="13"/>
    <x v="17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5977"/>
    <s v="1530159864:1"/>
    <s v="1.04.00"/>
    <s v="FP Labor - Remote Services Ctr"/>
    <s v="Labor"/>
    <s v="CO-C"/>
    <d v="2026-03-31T00:00:00"/>
    <x v="13"/>
    <x v="18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99244"/>
    <s v="1532035476:1"/>
    <s v="1.04.00"/>
    <s v="FP Labor - Remote Services Ctr"/>
    <s v="Labor"/>
    <s v="CO-C"/>
    <d v="2026-03-31T00:00:00"/>
    <x v="13"/>
    <x v="19"/>
    <s v="Employee"/>
    <s v="4"/>
    <s v="ORCL IN OSSI"/>
    <s v="504526 - 96V:GSC-DB &amp; Options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19686"/>
    <s v="1532007154:1"/>
    <s v="1.04.00"/>
    <s v="FP Labor - Remote Services Ctr"/>
    <s v="Labor"/>
    <s v="CO-C"/>
    <d v="2026-03-31T00:00:00"/>
    <x v="13"/>
    <x v="20"/>
    <s v="Employee"/>
    <s v="4"/>
    <s v="ORCL IN OSSI"/>
    <s v="504506 - 94V:GSC-eStudio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9891"/>
    <s v="1532785655:1"/>
    <s v="1.04.00"/>
    <s v="FP Labor - Remote Services Ctr"/>
    <s v="Labor"/>
    <s v="CO-C"/>
    <d v="2026-03-31T00:00:00"/>
    <x v="13"/>
    <x v="29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237"/>
    <s v="3029639061849191"/>
    <s v="1.04.00"/>
    <s v="FP Labor - Remote Services Ctr"/>
    <s v="Labor"/>
    <s v="CO-C"/>
    <d v="2026-03-31T00:00:00"/>
    <x v="13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77687"/>
    <s v="1532819823:1"/>
    <s v="1.04.00"/>
    <s v="FP Labor - Remote Services Ctr"/>
    <s v="Labor"/>
    <s v="CO-C"/>
    <d v="2026-03-31T00:00:00"/>
    <x v="13"/>
    <x v="22"/>
    <s v="Employee"/>
    <s v="6"/>
    <s v="ORCL IN OSSI"/>
    <s v="504526 - 96V:GSC-DB &amp; Options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3975"/>
    <s v="3029640524108102"/>
    <s v="1.04.00"/>
    <s v="FP Labor - Remote Services Ctr"/>
    <s v="Labor"/>
    <s v="CO-C"/>
    <d v="2026-03-31T00:00:00"/>
    <x v="13"/>
    <x v="2"/>
    <s v="Billable Contractor"/>
    <m/>
    <s v="ORCL EG"/>
    <s v="509485 - 73M: EMEA Business Analytics - PaaS"/>
    <s v="008U"/>
    <s v="Y"/>
    <s v="Y"/>
    <s v="Unrecognized"/>
    <n v="7"/>
    <s v="AED"/>
    <n v="53.56"/>
    <n v="542.25"/>
    <n v="374.9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3652"/>
    <s v="1531941396:1"/>
    <s v="1.04.00"/>
    <s v="FP Labor - Remote Services Ctr"/>
    <s v="Labor"/>
    <s v="CO-C"/>
    <d v="2026-03-31T00:00:00"/>
    <x v="13"/>
    <x v="23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99477"/>
    <s v="1532006348:2"/>
    <s v="1.04.00"/>
    <s v="FP Labor - Remote Services Ctr"/>
    <s v="Labor"/>
    <s v="CO-C"/>
    <d v="2026-03-31T00:00:00"/>
    <x v="13"/>
    <x v="31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44108"/>
    <s v="3029639032247491"/>
    <s v="1.04.00"/>
    <s v="FP Labor - Remote Services Ctr"/>
    <s v="Labor"/>
    <s v="CO-C"/>
    <d v="2026-03-31T00:00:00"/>
    <x v="13"/>
    <x v="24"/>
    <s v="Billable Contractor"/>
    <m/>
    <s v="ORCL IN OSSI"/>
    <s v="504526 - 96V:GSC-DB &amp; Options"/>
    <s v="009B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7577"/>
    <s v="1532649968:1"/>
    <s v="1.04.00"/>
    <s v="FP Labor - Remote Services Ctr"/>
    <s v="Labor"/>
    <s v="CO-C"/>
    <d v="2026-03-31T00:00:00"/>
    <x v="13"/>
    <x v="25"/>
    <s v="Employee"/>
    <s v="7"/>
    <s v="ORCL IN OSSI"/>
    <s v="504506 - 94V:GSC-eStudio"/>
    <s v="009B"/>
    <s v="Y"/>
    <s v="Y"/>
    <s v="Unrecognized"/>
    <n v="8"/>
    <s v="AED"/>
    <n v="109.81"/>
    <n v="813.38"/>
    <n v="878.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7354"/>
    <s v="1532826072:1"/>
    <s v="1.04.00"/>
    <s v="FP Labor - Remote Services Ctr"/>
    <s v="Labor"/>
    <s v="CO-C"/>
    <d v="2026-03-31T00:00:00"/>
    <x v="13"/>
    <x v="32"/>
    <s v="Employee"/>
    <s v="5"/>
    <s v="ORCL IN OSSI"/>
    <s v="504546 - 98V:GSC-PaaS"/>
    <s v="09B2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5963"/>
    <s v="1532559646:1"/>
    <s v="1.04.00"/>
    <s v="FP Labor - Remote Services Ctr"/>
    <s v="Labor"/>
    <s v="CO-C"/>
    <d v="2026-04-01T00:00:00"/>
    <x v="13"/>
    <x v="27"/>
    <s v="Employee"/>
    <s v="6"/>
    <s v="ORCL IN OSSI"/>
    <s v="504526 - 96V:GSC-DB &amp; Options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8676"/>
    <s v="1530776131:1"/>
    <s v="1.04.00"/>
    <s v="FP Labor - Remote Services Ctr"/>
    <s v="Labor"/>
    <s v="CO-C"/>
    <d v="2026-04-01T00:00:00"/>
    <x v="13"/>
    <x v="16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8931"/>
    <s v="1531996498:1"/>
    <s v="1.04.00"/>
    <s v="FP Labor - Remote Services Ctr"/>
    <s v="Labor"/>
    <s v="CO-C"/>
    <d v="2026-04-01T00:00:00"/>
    <x v="13"/>
    <x v="17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8852"/>
    <s v="1530159865:1"/>
    <s v="1.04.00"/>
    <s v="FP Labor - Remote Services Ctr"/>
    <s v="Labor"/>
    <s v="CO-C"/>
    <d v="2026-04-01T00:00:00"/>
    <x v="13"/>
    <x v="18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77150"/>
    <s v="1532035477:1"/>
    <s v="1.04.00"/>
    <s v="FP Labor - Remote Services Ctr"/>
    <s v="Labor"/>
    <s v="CO-C"/>
    <d v="2026-04-01T00:00:00"/>
    <x v="13"/>
    <x v="19"/>
    <s v="Employee"/>
    <s v="4"/>
    <s v="ORCL IN OSSI"/>
    <s v="504526 - 96V:GSC-DB &amp; Options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9362"/>
    <s v="1532007155:1"/>
    <s v="1.04.00"/>
    <s v="FP Labor - Remote Services Ctr"/>
    <s v="Labor"/>
    <s v="CO-C"/>
    <d v="2026-04-01T00:00:00"/>
    <x v="13"/>
    <x v="20"/>
    <s v="Employee"/>
    <s v="4"/>
    <s v="ORCL IN OSSI"/>
    <s v="504506 - 94V:GSC-eStudio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924473"/>
    <s v="3029639061849222"/>
    <s v="1.04.00"/>
    <s v="FP Labor - Remote Services Ctr"/>
    <s v="Labor"/>
    <s v="CO-C"/>
    <d v="2026-04-01T00:00:00"/>
    <x v="13"/>
    <x v="12"/>
    <s v="Billable Contractor"/>
    <m/>
    <s v="ORCL EG"/>
    <s v="509335 - U3K-EMEA Tech Delivery - P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6883"/>
    <s v="1532819824:1"/>
    <s v="1.04.00"/>
    <s v="FP Labor - Remote Services Ctr"/>
    <s v="Labor"/>
    <s v="CO-C"/>
    <d v="2026-04-01T00:00:00"/>
    <x v="13"/>
    <x v="22"/>
    <s v="Employee"/>
    <s v="6"/>
    <s v="ORCL IN OSSI"/>
    <s v="504526 - 96V:GSC-DB &amp; Options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3879"/>
    <s v="1531941397:1"/>
    <s v="1.04.00"/>
    <s v="FP Labor - Remote Services Ctr"/>
    <s v="Labor"/>
    <s v="CO-C"/>
    <d v="2026-04-01T00:00:00"/>
    <x v="13"/>
    <x v="23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4457"/>
    <s v="1532006349:2"/>
    <s v="1.04.00"/>
    <s v="FP Labor - Remote Services Ctr"/>
    <s v="Labor"/>
    <s v="CO-C"/>
    <d v="2026-04-01T00:00:00"/>
    <x v="13"/>
    <x v="31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44107"/>
    <s v="3029639032247511"/>
    <s v="1.04.00"/>
    <s v="FP Labor - Remote Services Ctr"/>
    <s v="Labor"/>
    <s v="CO-C"/>
    <d v="2026-04-01T00:00:00"/>
    <x v="13"/>
    <x v="24"/>
    <s v="Billable Contractor"/>
    <m/>
    <s v="ORCL IN OSSI"/>
    <s v="504526 - 96V:GSC-DB &amp; Options"/>
    <s v="009B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19097"/>
    <s v="1532649969:1"/>
    <s v="1.04.00"/>
    <s v="FP Labor - Remote Services Ctr"/>
    <s v="Labor"/>
    <s v="CO-C"/>
    <d v="2026-04-01T00:00:00"/>
    <x v="13"/>
    <x v="25"/>
    <s v="Employee"/>
    <s v="7"/>
    <s v="ORCL IN OSSI"/>
    <s v="504506 - 94V:GSC-eStudio"/>
    <s v="009B"/>
    <s v="Y"/>
    <s v="Y"/>
    <s v="Unrecognized"/>
    <n v="8"/>
    <s v="AED"/>
    <n v="109.81"/>
    <n v="813.38"/>
    <n v="878.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2955"/>
    <s v="1532826073:1"/>
    <s v="1.04.00"/>
    <s v="FP Labor - Remote Services Ctr"/>
    <s v="Labor"/>
    <s v="CO-C"/>
    <d v="2026-04-01T00:00:00"/>
    <x v="13"/>
    <x v="32"/>
    <s v="Employee"/>
    <s v="5"/>
    <s v="ORCL IN OSSI"/>
    <s v="504546 - 98V:GSC-PaaS"/>
    <s v="09B2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7243"/>
    <s v="1532559647:1"/>
    <s v="1.04.00"/>
    <s v="FP Labor - Remote Services Ctr"/>
    <s v="Labor"/>
    <s v="CO-C"/>
    <d v="2026-04-02T00:00:00"/>
    <x v="13"/>
    <x v="27"/>
    <s v="Employee"/>
    <s v="6"/>
    <s v="ORCL IN OSSI"/>
    <s v="504526 - 96V:GSC-DB &amp; Options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5177"/>
    <s v="1530776132:1"/>
    <s v="1.04.00"/>
    <s v="FP Labor - Remote Services Ctr"/>
    <s v="Labor"/>
    <s v="CO-C"/>
    <d v="2026-04-02T00:00:00"/>
    <x v="13"/>
    <x v="16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98978"/>
    <s v="1531996499:1"/>
    <s v="1.04.00"/>
    <s v="FP Labor - Remote Services Ctr"/>
    <s v="Labor"/>
    <s v="CO-C"/>
    <d v="2026-04-02T00:00:00"/>
    <x v="13"/>
    <x v="17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5327"/>
    <s v="1530159866:1"/>
    <s v="1.04.00"/>
    <s v="FP Labor - Remote Services Ctr"/>
    <s v="Labor"/>
    <s v="CO-C"/>
    <d v="2026-04-02T00:00:00"/>
    <x v="13"/>
    <x v="18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3087"/>
    <s v="1532035478:1"/>
    <s v="1.04.00"/>
    <s v="FP Labor - Remote Services Ctr"/>
    <s v="Labor"/>
    <s v="CO-C"/>
    <d v="2026-04-02T00:00:00"/>
    <x v="13"/>
    <x v="19"/>
    <s v="Employee"/>
    <s v="4"/>
    <s v="ORCL IN OSSI"/>
    <s v="504526 - 96V:GSC-DB &amp; Options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87762"/>
    <s v="1532007156:1"/>
    <s v="1.04.00"/>
    <s v="FP Labor - Remote Services Ctr"/>
    <s v="Labor"/>
    <s v="CO-C"/>
    <d v="2026-04-02T00:00:00"/>
    <x v="13"/>
    <x v="20"/>
    <s v="Employee"/>
    <s v="4"/>
    <s v="ORCL IN OSSI"/>
    <s v="504506 - 94V:GSC-eStudio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3878"/>
    <s v="1532785654:1"/>
    <s v="1.04.00"/>
    <s v="FP Labor - Remote Services Ctr"/>
    <s v="Labor"/>
    <s v="CO-C"/>
    <d v="2026-04-02T00:00:00"/>
    <x v="13"/>
    <x v="29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35226"/>
    <s v="3029639061849251"/>
    <s v="1.04.00"/>
    <s v="FP Labor - Remote Services Ctr"/>
    <s v="Labor"/>
    <s v="CO-C"/>
    <d v="2026-04-02T00:00:00"/>
    <x v="13"/>
    <x v="12"/>
    <s v="Billable Contractor"/>
    <m/>
    <s v="ORCL EG"/>
    <s v="509335 - U3K-EMEA Tech Delivery - P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3580"/>
    <s v="1532819826:1"/>
    <s v="1.04.00"/>
    <s v="FP Labor - Remote Services Ctr"/>
    <s v="Labor"/>
    <s v="CO-C"/>
    <d v="2026-04-02T00:00:00"/>
    <x v="13"/>
    <x v="22"/>
    <s v="Employee"/>
    <s v="6"/>
    <s v="ORCL IN OSSI"/>
    <s v="504526 - 96V:GSC-DB &amp; Options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98955"/>
    <s v="1531941398:1"/>
    <s v="1.04.00"/>
    <s v="FP Labor - Remote Services Ctr"/>
    <s v="Labor"/>
    <s v="CO-C"/>
    <d v="2026-04-02T00:00:00"/>
    <x v="13"/>
    <x v="23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21773"/>
    <s v="1532006350:2"/>
    <s v="1.04.00"/>
    <s v="FP Labor - Remote Services Ctr"/>
    <s v="Labor"/>
    <s v="CO-C"/>
    <d v="2026-04-02T00:00:00"/>
    <x v="13"/>
    <x v="31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244351"/>
    <s v="3029639032247531"/>
    <s v="1.04.00"/>
    <s v="FP Labor - Remote Services Ctr"/>
    <s v="Labor"/>
    <s v="CO-C"/>
    <d v="2026-04-02T00:00:00"/>
    <x v="13"/>
    <x v="24"/>
    <s v="Billable Contractor"/>
    <m/>
    <s v="ORCL IN OSSI"/>
    <s v="504526 - 96V:GSC-DB &amp; Options"/>
    <s v="009B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9116"/>
    <s v="1532649971:1"/>
    <s v="1.04.00"/>
    <s v="FP Labor - Remote Services Ctr"/>
    <s v="Labor"/>
    <s v="CO-C"/>
    <d v="2026-04-02T00:00:00"/>
    <x v="13"/>
    <x v="25"/>
    <s v="Employee"/>
    <s v="7"/>
    <s v="ORCL IN OSSI"/>
    <s v="504506 - 94V:GSC-eStudio"/>
    <s v="009B"/>
    <s v="Y"/>
    <s v="Y"/>
    <s v="Unrecognized"/>
    <n v="8"/>
    <s v="AED"/>
    <n v="109.81"/>
    <n v="813.38"/>
    <n v="878.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309127"/>
    <s v="1532826074:1"/>
    <s v="1.04.00"/>
    <s v="FP Labor - Remote Services Ctr"/>
    <s v="Labor"/>
    <s v="CO-C"/>
    <d v="2026-04-02T00:00:00"/>
    <x v="13"/>
    <x v="32"/>
    <s v="Employee"/>
    <s v="5"/>
    <s v="ORCL IN OSSI"/>
    <s v="504546 - 98V:GSC-PaaS"/>
    <s v="09B2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6064"/>
    <s v="1532559648:1"/>
    <s v="1.04.00"/>
    <s v="FP Labor - Remote Services Ctr"/>
    <s v="Labor"/>
    <s v="CO-C"/>
    <d v="2026-04-03T00:00:00"/>
    <x v="13"/>
    <x v="27"/>
    <s v="Employee"/>
    <s v="6"/>
    <s v="ORCL IN OSSI"/>
    <s v="504526 - 96V:GSC-DB &amp; Options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2291"/>
    <s v="1530776133:1"/>
    <s v="1.04.00"/>
    <s v="FP Labor - Remote Services Ctr"/>
    <s v="Labor"/>
    <s v="CO-C"/>
    <d v="2026-04-03T00:00:00"/>
    <x v="13"/>
    <x v="16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3517"/>
    <s v="1531996500:1"/>
    <s v="1.04.00"/>
    <s v="FP Labor - Remote Services Ctr"/>
    <s v="Labor"/>
    <s v="CO-C"/>
    <d v="2026-04-03T00:00:00"/>
    <x v="13"/>
    <x v="17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3835"/>
    <s v="1530159867:1"/>
    <s v="1.04.00"/>
    <s v="FP Labor - Remote Services Ctr"/>
    <s v="Labor"/>
    <s v="CO-C"/>
    <d v="2026-04-03T00:00:00"/>
    <x v="13"/>
    <x v="18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459210"/>
    <s v="1532035479:1"/>
    <s v="1.04.00"/>
    <s v="FP Labor - Remote Services Ctr"/>
    <s v="Labor"/>
    <s v="CO-C"/>
    <d v="2026-04-03T00:00:00"/>
    <x v="13"/>
    <x v="19"/>
    <s v="Employee"/>
    <s v="4"/>
    <s v="ORCL IN OSSI"/>
    <s v="504526 - 96V:GSC-DB &amp; Options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1157"/>
    <s v="1532007157:1"/>
    <s v="1.04.00"/>
    <s v="FP Labor - Remote Services Ctr"/>
    <s v="Labor"/>
    <s v="CO-C"/>
    <d v="2026-04-03T00:00:00"/>
    <x v="13"/>
    <x v="20"/>
    <s v="Employee"/>
    <s v="4"/>
    <s v="ORCL IN OSSI"/>
    <s v="504506 - 94V:GSC-eStudio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3133"/>
    <s v="1532785653:1"/>
    <s v="1.04.00"/>
    <s v="FP Labor - Remote Services Ctr"/>
    <s v="Labor"/>
    <s v="CO-C"/>
    <d v="2026-04-03T00:00:00"/>
    <x v="13"/>
    <x v="29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924377"/>
    <s v="3029652469007551"/>
    <s v="1.04.00"/>
    <s v="FP Labor - Remote Services Ctr"/>
    <s v="Labor"/>
    <s v="CO-C"/>
    <d v="2026-04-03T00:00:00"/>
    <x v="13"/>
    <x v="12"/>
    <s v="Billable Contractor"/>
    <m/>
    <s v="ORCL EG"/>
    <s v="509335 - U3K-EMEA Tech Delivery - P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6339"/>
    <s v="1532819827:1"/>
    <s v="1.04.00"/>
    <s v="FP Labor - Remote Services Ctr"/>
    <s v="Labor"/>
    <s v="CO-C"/>
    <d v="2026-04-03T00:00:00"/>
    <x v="13"/>
    <x v="22"/>
    <s v="Employee"/>
    <s v="6"/>
    <s v="ORCL IN OSSI"/>
    <s v="504526 - 96V:GSC-DB &amp; Options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459807"/>
    <s v="1531941399:1"/>
    <s v="1.04.00"/>
    <s v="FP Labor - Remote Services Ctr"/>
    <s v="Labor"/>
    <s v="CO-C"/>
    <d v="2026-04-03T00:00:00"/>
    <x v="13"/>
    <x v="23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5712"/>
    <s v="1532006351:2"/>
    <s v="1.04.00"/>
    <s v="FP Labor - Remote Services Ctr"/>
    <s v="Labor"/>
    <s v="CO-C"/>
    <d v="2026-04-03T00:00:00"/>
    <x v="13"/>
    <x v="31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00347"/>
    <s v="3029639032247551"/>
    <s v="1.04.00"/>
    <s v="FP Labor - Remote Services Ctr"/>
    <s v="Labor"/>
    <s v="CO-C"/>
    <d v="2026-04-03T00:00:00"/>
    <x v="13"/>
    <x v="24"/>
    <s v="Billable Contractor"/>
    <m/>
    <s v="ORCL IN OSSI"/>
    <s v="504526 - 96V:GSC-DB &amp; Options"/>
    <s v="009B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5084"/>
    <s v="1532649972:1"/>
    <s v="1.04.00"/>
    <s v="FP Labor - Remote Services Ctr"/>
    <s v="Labor"/>
    <s v="CO-C"/>
    <d v="2026-04-03T00:00:00"/>
    <x v="13"/>
    <x v="25"/>
    <s v="Employee"/>
    <s v="7"/>
    <s v="ORCL IN OSSI"/>
    <s v="504506 - 94V:GSC-eStudio"/>
    <s v="009B"/>
    <s v="Y"/>
    <s v="Y"/>
    <s v="Unrecognized"/>
    <n v="8"/>
    <s v="AED"/>
    <n v="109.81"/>
    <n v="813.38"/>
    <n v="878.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512585"/>
    <s v="1532826075:1"/>
    <s v="1.04.00"/>
    <s v="FP Labor - Remote Services Ctr"/>
    <s v="Labor"/>
    <s v="CO-C"/>
    <d v="2026-04-03T00:00:00"/>
    <x v="13"/>
    <x v="32"/>
    <s v="Employee"/>
    <s v="5"/>
    <s v="ORCL IN OSSI"/>
    <s v="504546 - 98V:GSC-PaaS"/>
    <s v="09B2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68674"/>
    <s v="3029640525082242"/>
    <s v="1.04.00"/>
    <s v="FP Labor - Remote Services Ctr"/>
    <s v="Labor"/>
    <s v="CO-C"/>
    <d v="2026-04-04T00:00:00"/>
    <x v="14"/>
    <x v="2"/>
    <s v="Billable Contractor"/>
    <m/>
    <s v="ORCL EG"/>
    <s v="509485 - 73M: EMEA Business Analytics - PaaS"/>
    <s v="008U"/>
    <s v="Y"/>
    <s v="Y"/>
    <s v="Unrecognized"/>
    <n v="7"/>
    <s v="AED"/>
    <n v="53.56"/>
    <n v="542.25"/>
    <n v="374.9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85537"/>
    <s v="3029641442892201"/>
    <s v="1.04.00"/>
    <s v="FP Labor - Remote Services Ctr"/>
    <s v="Labor"/>
    <s v="CO-C"/>
    <d v="2026-04-05T00:00:00"/>
    <x v="14"/>
    <x v="13"/>
    <s v="Employee"/>
    <s v="8"/>
    <s v="ORCL EG"/>
    <s v="502416 - 3WP-EMEA Delivery Middleware - IaaS"/>
    <s v="008U"/>
    <s v="Y"/>
    <s v="Y"/>
    <s v="Unrecognized"/>
    <n v="8"/>
    <s v="AED"/>
    <n v="95.97"/>
    <n v="943.05"/>
    <n v="767.75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85535"/>
    <s v="3029640525082262"/>
    <s v="1.04.00"/>
    <s v="FP Labor - Remote Services Ctr"/>
    <s v="Labor"/>
    <s v="CO-C"/>
    <d v="2026-04-05T00:00:00"/>
    <x v="14"/>
    <x v="2"/>
    <s v="Billable Contractor"/>
    <m/>
    <s v="ORCL EG"/>
    <s v="509485 - 73M: EMEA Business Analytics - PaaS"/>
    <s v="008U"/>
    <s v="Y"/>
    <s v="Y"/>
    <s v="Unrecognized"/>
    <n v="7"/>
    <s v="AED"/>
    <n v="53.56"/>
    <n v="542.25"/>
    <n v="374.9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2842"/>
    <s v="1532559676:1"/>
    <s v="1.04.00"/>
    <s v="FP Labor - Remote Services Ctr"/>
    <s v="Labor"/>
    <s v="CO-C"/>
    <d v="2026-04-06T00:00:00"/>
    <x v="14"/>
    <x v="27"/>
    <s v="Employee"/>
    <s v="6"/>
    <s v="ORCL IN OSSI"/>
    <s v="504526 - 96V:GSC-DB &amp; Options"/>
    <s v="09B4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4141"/>
    <s v="1530777581:1"/>
    <s v="1.04.00"/>
    <s v="FP Labor - Remote Services Ctr"/>
    <s v="Labor"/>
    <s v="CO-C"/>
    <d v="2026-04-06T00:00:00"/>
    <x v="14"/>
    <x v="16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3012"/>
    <s v="1531996513:1"/>
    <s v="1.04.00"/>
    <s v="FP Labor - Remote Services Ctr"/>
    <s v="Labor"/>
    <s v="CO-C"/>
    <d v="2026-04-06T00:00:00"/>
    <x v="14"/>
    <x v="17"/>
    <s v="Employee"/>
    <s v="5"/>
    <s v="ORCL IN OSSI"/>
    <s v="504526 - 96V:GSC-DB &amp; Options"/>
    <s v="09B3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4054"/>
    <s v="1532977300:1"/>
    <s v="1.04.00"/>
    <s v="FP Labor - Remote Services Ctr"/>
    <s v="Labor"/>
    <s v="CO-C"/>
    <d v="2026-04-06T00:00:00"/>
    <x v="14"/>
    <x v="18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46324"/>
    <s v="1532035518:2"/>
    <s v="1.04.00"/>
    <s v="FP Labor - Remote Services Ctr"/>
    <s v="Labor"/>
    <s v="CO-C"/>
    <d v="2026-04-06T00:00:00"/>
    <x v="14"/>
    <x v="19"/>
    <s v="Employee"/>
    <s v="4"/>
    <s v="ORCL IN OSSI"/>
    <s v="504526 - 96V:GSC-DB &amp; Options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3991"/>
    <s v="1532007172:1"/>
    <s v="1.04.00"/>
    <s v="FP Labor - Remote Services Ctr"/>
    <s v="Labor"/>
    <s v="CO-C"/>
    <d v="2026-04-06T00:00:00"/>
    <x v="14"/>
    <x v="20"/>
    <s v="Employee"/>
    <s v="4"/>
    <s v="ORCL IN OSSI"/>
    <s v="504506 - 94V:GSC-eStudio"/>
    <s v="09B4"/>
    <s v="Y"/>
    <s v="Y"/>
    <s v="Unrecognized"/>
    <n v="8"/>
    <s v="AED"/>
    <n v="68.34"/>
    <n v="542.25"/>
    <n v="54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2893"/>
    <s v="1532785726:1"/>
    <s v="1.04.00"/>
    <s v="FP Labor - Remote Services Ctr"/>
    <s v="Labor"/>
    <s v="CO-C"/>
    <d v="2026-04-06T00:00:00"/>
    <x v="14"/>
    <x v="29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90859"/>
    <s v="3029639059069281"/>
    <s v="1.04.00"/>
    <s v="FP Labor - Remote Services Ctr"/>
    <s v="Labor"/>
    <s v="CO-C"/>
    <d v="2026-04-06T00:00:00"/>
    <x v="14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90863"/>
    <s v="3029641442892221"/>
    <s v="1.04.00"/>
    <s v="FP Labor - Remote Services Ctr"/>
    <s v="Labor"/>
    <s v="CO-C"/>
    <d v="2026-04-06T00:00:00"/>
    <x v="14"/>
    <x v="13"/>
    <s v="Employee"/>
    <s v="8"/>
    <s v="ORCL EG"/>
    <s v="502416 - 3WP-EMEA Delivery Middleware - IaaS"/>
    <s v="008U"/>
    <s v="Y"/>
    <s v="Y"/>
    <s v="Unrecognized"/>
    <n v="8"/>
    <s v="AED"/>
    <n v="95.97"/>
    <n v="943.05"/>
    <n v="767.75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2503"/>
    <s v="1532819908:1"/>
    <s v="1.04.00"/>
    <s v="FP Labor - Remote Services Ctr"/>
    <s v="Labor"/>
    <s v="CO-C"/>
    <d v="2026-04-06T00:00:00"/>
    <x v="14"/>
    <x v="22"/>
    <s v="Employee"/>
    <s v="6"/>
    <s v="ORCL IN OSSI"/>
    <s v="504526 - 96V:GSC-DB &amp; Options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90861"/>
    <s v="3029640525082282"/>
    <s v="1.04.00"/>
    <s v="FP Labor - Remote Services Ctr"/>
    <s v="Labor"/>
    <s v="CO-C"/>
    <d v="2026-04-06T00:00:00"/>
    <x v="14"/>
    <x v="2"/>
    <s v="Billable Contractor"/>
    <m/>
    <s v="ORCL EG"/>
    <s v="509485 - 73M: EMEA Business Analytics - PaaS"/>
    <s v="008U"/>
    <s v="Y"/>
    <s v="Y"/>
    <s v="Unrecognized"/>
    <n v="7"/>
    <s v="AED"/>
    <n v="53.56"/>
    <n v="542.25"/>
    <n v="374.9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94987"/>
    <s v="1531941412:1"/>
    <s v="1.04.00"/>
    <s v="FP Labor - Remote Services Ctr"/>
    <s v="Labor"/>
    <s v="CO-C"/>
    <d v="2026-04-06T00:00:00"/>
    <x v="14"/>
    <x v="23"/>
    <s v="Employee"/>
    <s v="5"/>
    <s v="ORCL IN OSSI"/>
    <s v="504526 - 96V:GSC-DB &amp; Options"/>
    <s v="09B1"/>
    <s v="Y"/>
    <s v="Y"/>
    <s v="Unrecognized"/>
    <n v="8"/>
    <s v="AED"/>
    <n v="68.34"/>
    <n v="660.13"/>
    <n v="546.72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3660"/>
    <s v="1532006377:1"/>
    <s v="1.04.00"/>
    <s v="FP Labor - Remote Services Ctr"/>
    <s v="Labor"/>
    <s v="CO-C"/>
    <d v="2026-04-06T00:00:00"/>
    <x v="14"/>
    <x v="31"/>
    <s v="Employee"/>
    <s v="6"/>
    <s v="ORCL IN OSSI"/>
    <s v="504506 - 94V:GSC-eStudio"/>
    <s v="09B2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696805"/>
    <s v="3029639033066201"/>
    <s v="1.04.00"/>
    <s v="FP Labor - Remote Services Ctr"/>
    <s v="Labor"/>
    <s v="CO-C"/>
    <d v="2026-04-06T00:00:00"/>
    <x v="14"/>
    <x v="24"/>
    <s v="Billable Contractor"/>
    <m/>
    <s v="ORCL IN OSSI"/>
    <s v="504526 - 96V:GSC-DB &amp; Options"/>
    <s v="009B"/>
    <s v="Y"/>
    <s v="Y"/>
    <s v="Unrecognized"/>
    <n v="8"/>
    <s v="AED"/>
    <n v="109.81"/>
    <n v="754.44"/>
    <n v="878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2651"/>
    <s v="1532649998:1"/>
    <s v="1.04.00"/>
    <s v="FP Labor - Remote Services Ctr"/>
    <s v="Labor"/>
    <s v="CO-C"/>
    <d v="2026-04-06T00:00:00"/>
    <x v="14"/>
    <x v="25"/>
    <s v="Employee"/>
    <s v="7"/>
    <s v="ORCL IN OSSI"/>
    <s v="504506 - 94V:GSC-eStudio"/>
    <s v="009B"/>
    <s v="Y"/>
    <s v="Y"/>
    <s v="Unrecognized"/>
    <n v="8"/>
    <s v="AED"/>
    <n v="109.81"/>
    <n v="813.38"/>
    <n v="878.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03426"/>
    <s v="1532832094:1"/>
    <s v="1.04.00"/>
    <s v="FP Labor - Remote Services Ctr"/>
    <s v="Labor"/>
    <s v="CO-C"/>
    <d v="2026-04-06T00:00:00"/>
    <x v="14"/>
    <x v="32"/>
    <s v="Employee"/>
    <s v="5"/>
    <s v="ORCL IN OSSI"/>
    <s v="504546 - 98V:GSC-PaaS"/>
    <s v="09B2"/>
    <s v="Y"/>
    <s v="Y"/>
    <s v="Unrecognized"/>
    <n v="8"/>
    <s v="AED"/>
    <n v="68.34"/>
    <n v="660.13"/>
    <n v="546.7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4768"/>
    <s v="1532559677:1"/>
    <s v="1.04.00"/>
    <s v="FP Labor - Remote Services Ctr"/>
    <s v="Labor"/>
    <s v="CO-C"/>
    <d v="2026-04-07T00:00:00"/>
    <x v="14"/>
    <x v="27"/>
    <s v="Employee"/>
    <s v="6"/>
    <s v="ORCL IN OSSI"/>
    <s v="504526 - 96V:GSC-DB &amp; Options"/>
    <s v="09B4"/>
    <s v="Y"/>
    <s v="Y"/>
    <s v="Unrecognized"/>
    <n v="8"/>
    <s v="AED"/>
    <n v="110.86"/>
    <n v="754.44"/>
    <n v="886.9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5965"/>
    <s v="1530777582:1"/>
    <s v="1.04.00"/>
    <s v="FP Labor - Remote Services Ctr"/>
    <s v="Labor"/>
    <s v="CO-C"/>
    <d v="2026-04-07T00:00:00"/>
    <x v="14"/>
    <x v="16"/>
    <s v="Employee"/>
    <s v="5"/>
    <s v="ORCL IN OSSI"/>
    <s v="504526 - 96V:GSC-DB &amp; Options"/>
    <s v="09B1"/>
    <s v="Y"/>
    <s v="Y"/>
    <s v="Unrecognized"/>
    <n v="8"/>
    <s v="AED"/>
    <n v="69"/>
    <n v="660.13"/>
    <n v="551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4052"/>
    <s v="1531996514:1"/>
    <s v="1.04.00"/>
    <s v="FP Labor - Remote Services Ctr"/>
    <s v="Labor"/>
    <s v="CO-C"/>
    <d v="2026-04-07T00:00:00"/>
    <x v="14"/>
    <x v="17"/>
    <s v="Employee"/>
    <s v="5"/>
    <s v="ORCL IN OSSI"/>
    <s v="504526 - 96V:GSC-DB &amp; Options"/>
    <s v="09B3"/>
    <s v="Y"/>
    <s v="Y"/>
    <s v="Unrecognized"/>
    <n v="8"/>
    <s v="AED"/>
    <n v="69"/>
    <n v="660.13"/>
    <n v="551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4235"/>
    <s v="1532977301:1"/>
    <s v="1.04.00"/>
    <s v="FP Labor - Remote Services Ctr"/>
    <s v="Labor"/>
    <s v="CO-C"/>
    <d v="2026-04-07T00:00:00"/>
    <x v="14"/>
    <x v="18"/>
    <s v="Employee"/>
    <s v="5"/>
    <s v="ORCL IN OSSI"/>
    <s v="504526 - 96V:GSC-DB &amp; Options"/>
    <s v="09B1"/>
    <s v="Y"/>
    <s v="Y"/>
    <s v="Unrecognized"/>
    <n v="8"/>
    <s v="AED"/>
    <n v="69"/>
    <n v="660.13"/>
    <n v="551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5874"/>
    <s v="1532007173:1"/>
    <s v="1.04.00"/>
    <s v="FP Labor - Remote Services Ctr"/>
    <s v="Labor"/>
    <s v="CO-C"/>
    <d v="2026-04-07T00:00:00"/>
    <x v="14"/>
    <x v="20"/>
    <s v="Employee"/>
    <s v="4"/>
    <s v="ORCL IN OSSI"/>
    <s v="504506 - 94V:GSC-eStudio"/>
    <s v="09B4"/>
    <s v="Y"/>
    <s v="Y"/>
    <s v="Unrecognized"/>
    <n v="8"/>
    <s v="AED"/>
    <n v="69"/>
    <n v="542.25"/>
    <n v="551.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4754"/>
    <s v="1532785725:1"/>
    <s v="1.04.00"/>
    <s v="FP Labor - Remote Services Ctr"/>
    <s v="Labor"/>
    <s v="CO-C"/>
    <d v="2026-04-07T00:00:00"/>
    <x v="14"/>
    <x v="29"/>
    <s v="Employee"/>
    <s v="6"/>
    <s v="ORCL IN OSSI"/>
    <s v="504506 - 94V:GSC-eStudio"/>
    <s v="09B2"/>
    <s v="Y"/>
    <s v="Y"/>
    <s v="Unrecognized"/>
    <n v="8"/>
    <s v="AED"/>
    <n v="110.86"/>
    <n v="754.44"/>
    <n v="886.9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32310"/>
    <s v="3029639059069311"/>
    <s v="1.04.00"/>
    <s v="FP Labor - Remote Services Ctr"/>
    <s v="Labor"/>
    <s v="CO-C"/>
    <d v="2026-04-07T00:00:00"/>
    <x v="14"/>
    <x v="12"/>
    <s v="Billable Contractor"/>
    <m/>
    <s v="ORCL EG"/>
    <s v="509335 - U3K-EMEA Tech Delivery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6170"/>
    <s v="1532819909:1"/>
    <s v="1.04.00"/>
    <s v="FP Labor - Remote Services Ctr"/>
    <s v="Labor"/>
    <s v="CO-C"/>
    <d v="2026-04-07T00:00:00"/>
    <x v="14"/>
    <x v="22"/>
    <s v="Employee"/>
    <s v="6"/>
    <s v="ORCL IN OSSI"/>
    <s v="504526 - 96V:GSC-DB &amp; Options"/>
    <s v="09B2"/>
    <s v="Y"/>
    <s v="Y"/>
    <s v="Unrecognized"/>
    <n v="8"/>
    <s v="AED"/>
    <n v="110.86"/>
    <n v="754.44"/>
    <n v="886.9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32311"/>
    <s v="3029640525082302"/>
    <s v="1.04.00"/>
    <s v="FP Labor - Remote Services Ctr"/>
    <s v="Labor"/>
    <s v="CO-C"/>
    <d v="2026-04-07T00:00:00"/>
    <x v="14"/>
    <x v="2"/>
    <s v="Billable Contractor"/>
    <m/>
    <s v="ORCL EG"/>
    <s v="509485 - 73M: EMEA Business Analytics - PaaS"/>
    <s v="008U"/>
    <s v="Y"/>
    <s v="Y"/>
    <s v="Unrecognized"/>
    <n v="7"/>
    <s v="AED"/>
    <n v="51.89"/>
    <n v="542.25"/>
    <n v="363.23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58013"/>
    <s v="1531941413:1"/>
    <s v="1.04.00"/>
    <s v="FP Labor - Remote Services Ctr"/>
    <s v="Labor"/>
    <s v="CO-C"/>
    <d v="2026-04-07T00:00:00"/>
    <x v="14"/>
    <x v="23"/>
    <s v="Employee"/>
    <s v="5"/>
    <s v="ORCL IN OSSI"/>
    <s v="504526 - 96V:GSC-DB &amp; Options"/>
    <s v="09B1"/>
    <s v="Y"/>
    <s v="Y"/>
    <s v="Unrecognized"/>
    <n v="8"/>
    <s v="AED"/>
    <n v="69"/>
    <n v="660.13"/>
    <n v="551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57959"/>
    <s v="1532006378:1"/>
    <s v="1.04.00"/>
    <s v="FP Labor - Remote Services Ctr"/>
    <s v="Labor"/>
    <s v="CO-C"/>
    <d v="2026-04-07T00:00:00"/>
    <x v="14"/>
    <x v="31"/>
    <s v="Employee"/>
    <s v="6"/>
    <s v="ORCL IN OSSI"/>
    <s v="504506 - 94V:GSC-eStudio"/>
    <s v="09B2"/>
    <s v="Y"/>
    <s v="Y"/>
    <s v="Unrecognized"/>
    <n v="8"/>
    <s v="AED"/>
    <n v="110.86"/>
    <n v="754.44"/>
    <n v="886.9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58107"/>
    <s v="3029639033066221"/>
    <s v="1.04.00"/>
    <s v="FP Labor - Remote Services Ctr"/>
    <s v="Labor"/>
    <s v="CO-C"/>
    <d v="2026-04-07T00:00:00"/>
    <x v="14"/>
    <x v="24"/>
    <s v="Billable Contractor"/>
    <m/>
    <s v="ORCL IN OSSI"/>
    <s v="504526 - 96V:GSC-DB &amp; Options"/>
    <s v="009B"/>
    <s v="Y"/>
    <s v="Y"/>
    <s v="Unrecognized"/>
    <n v="8"/>
    <s v="AED"/>
    <n v="110.86"/>
    <n v="754.44"/>
    <n v="886.9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6337"/>
    <s v="1532649999:1"/>
    <s v="1.04.00"/>
    <s v="FP Labor - Remote Services Ctr"/>
    <s v="Labor"/>
    <s v="CO-C"/>
    <d v="2026-04-07T00:00:00"/>
    <x v="14"/>
    <x v="25"/>
    <s v="Employee"/>
    <s v="7"/>
    <s v="ORCL IN OSSI"/>
    <s v="504506 - 94V:GSC-eStudio"/>
    <s v="009B"/>
    <s v="Y"/>
    <s v="Y"/>
    <s v="Unrecognized"/>
    <n v="8"/>
    <s v="AED"/>
    <n v="110.86"/>
    <n v="813.38"/>
    <n v="886.9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65036"/>
    <s v="1532832091:1"/>
    <s v="1.04.00"/>
    <s v="FP Labor - Remote Services Ctr"/>
    <s v="Labor"/>
    <s v="CO-C"/>
    <d v="2026-04-07T00:00:00"/>
    <x v="14"/>
    <x v="32"/>
    <s v="Employee"/>
    <s v="5"/>
    <s v="ORCL IN OSSI"/>
    <s v="504546 - 98V:GSC-PaaS"/>
    <s v="09B2"/>
    <s v="Y"/>
    <s v="Y"/>
    <s v="Unrecognized"/>
    <n v="8"/>
    <s v="AED"/>
    <n v="69"/>
    <n v="660.13"/>
    <n v="551.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0859"/>
    <s v="1532559678:1"/>
    <s v="1.04.00"/>
    <s v="FP Labor - Remote Services Ctr"/>
    <s v="Labor"/>
    <s v="CO-C"/>
    <d v="2026-04-08T00:00:00"/>
    <x v="14"/>
    <x v="27"/>
    <s v="Employee"/>
    <s v="6"/>
    <s v="ORCL IN OSSI"/>
    <s v="504526 - 96V:GSC-DB &amp; Options"/>
    <s v="09B4"/>
    <s v="Y"/>
    <s v="Y"/>
    <s v="Unrecognized"/>
    <n v="8"/>
    <s v="AED"/>
    <n v="110.94"/>
    <n v="754.44"/>
    <n v="887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05453"/>
    <s v="1530777583:1"/>
    <s v="1.04.00"/>
    <s v="FP Labor - Remote Services Ctr"/>
    <s v="Labor"/>
    <s v="CO-C"/>
    <d v="2026-04-08T00:00:00"/>
    <x v="14"/>
    <x v="16"/>
    <s v="Employee"/>
    <s v="5"/>
    <s v="ORCL IN OSSI"/>
    <s v="504526 - 96V:GSC-DB &amp; Options"/>
    <s v="09B1"/>
    <s v="Y"/>
    <s v="Y"/>
    <s v="Unrecognized"/>
    <n v="8"/>
    <s v="AED"/>
    <n v="69.040000000000006"/>
    <n v="660.13"/>
    <n v="552.3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1851"/>
    <s v="1531996515:1"/>
    <s v="1.04.00"/>
    <s v="FP Labor - Remote Services Ctr"/>
    <s v="Labor"/>
    <s v="CO-C"/>
    <d v="2026-04-08T00:00:00"/>
    <x v="14"/>
    <x v="17"/>
    <s v="Employee"/>
    <s v="5"/>
    <s v="ORCL IN OSSI"/>
    <s v="504526 - 96V:GSC-DB &amp; Options"/>
    <s v="09B3"/>
    <s v="Y"/>
    <s v="Y"/>
    <s v="Unrecognized"/>
    <n v="8"/>
    <s v="AED"/>
    <n v="69.040000000000006"/>
    <n v="660.13"/>
    <n v="552.3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1177"/>
    <s v="1532977302:1"/>
    <s v="1.04.00"/>
    <s v="FP Labor - Remote Services Ctr"/>
    <s v="Labor"/>
    <s v="CO-C"/>
    <d v="2026-04-08T00:00:00"/>
    <x v="14"/>
    <x v="18"/>
    <s v="Employee"/>
    <s v="5"/>
    <s v="ORCL IN OSSI"/>
    <s v="504526 - 96V:GSC-DB &amp; Options"/>
    <s v="09B1"/>
    <s v="Y"/>
    <s v="Y"/>
    <s v="Unrecognized"/>
    <n v="8"/>
    <s v="AED"/>
    <n v="69.040000000000006"/>
    <n v="660.13"/>
    <n v="552.3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1967"/>
    <s v="1532007174:1"/>
    <s v="1.04.00"/>
    <s v="FP Labor - Remote Services Ctr"/>
    <s v="Labor"/>
    <s v="CO-C"/>
    <d v="2026-04-08T00:00:00"/>
    <x v="14"/>
    <x v="20"/>
    <s v="Employee"/>
    <s v="4"/>
    <s v="ORCL IN OSSI"/>
    <s v="504506 - 94V:GSC-eStudio"/>
    <s v="09B4"/>
    <s v="Y"/>
    <s v="Y"/>
    <s v="Unrecognized"/>
    <n v="8"/>
    <s v="AED"/>
    <n v="69.040000000000006"/>
    <n v="542.25"/>
    <n v="552.3300000000000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0999"/>
    <s v="1532785724:1"/>
    <s v="1.04.00"/>
    <s v="FP Labor - Remote Services Ctr"/>
    <s v="Labor"/>
    <s v="CO-C"/>
    <d v="2026-04-08T00:00:00"/>
    <x v="14"/>
    <x v="29"/>
    <s v="Employee"/>
    <s v="6"/>
    <s v="ORCL IN OSSI"/>
    <s v="504506 - 94V:GSC-eStudio"/>
    <s v="09B2"/>
    <s v="Y"/>
    <s v="Y"/>
    <s v="Unrecognized"/>
    <n v="8"/>
    <s v="AED"/>
    <n v="110.94"/>
    <n v="754.44"/>
    <n v="887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6576"/>
    <s v="3029639059069341"/>
    <s v="1.04.00"/>
    <s v="FP Labor - Remote Services Ctr"/>
    <s v="Labor"/>
    <s v="CO-C"/>
    <d v="2026-04-08T00:00:00"/>
    <x v="14"/>
    <x v="12"/>
    <s v="Billable Contractor"/>
    <m/>
    <s v="ORCL EG"/>
    <s v="509335 - U3K-EMEA Tech Delivery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2683"/>
    <s v="1532819910:1"/>
    <s v="1.04.00"/>
    <s v="FP Labor - Remote Services Ctr"/>
    <s v="Labor"/>
    <s v="CO-C"/>
    <d v="2026-04-08T00:00:00"/>
    <x v="14"/>
    <x v="22"/>
    <s v="Employee"/>
    <s v="6"/>
    <s v="ORCL IN OSSI"/>
    <s v="504526 - 96V:GSC-DB &amp; Options"/>
    <s v="09B2"/>
    <s v="Y"/>
    <s v="Y"/>
    <s v="Unrecognized"/>
    <n v="8"/>
    <s v="AED"/>
    <n v="110.94"/>
    <n v="754.44"/>
    <n v="887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1787"/>
    <s v="1531941414:1"/>
    <s v="1.04.00"/>
    <s v="FP Labor - Remote Services Ctr"/>
    <s v="Labor"/>
    <s v="CO-C"/>
    <d v="2026-04-08T00:00:00"/>
    <x v="14"/>
    <x v="23"/>
    <s v="Employee"/>
    <s v="5"/>
    <s v="ORCL IN OSSI"/>
    <s v="504526 - 96V:GSC-DB &amp; Options"/>
    <s v="09B1"/>
    <s v="Y"/>
    <s v="Y"/>
    <s v="Unrecognized"/>
    <n v="8"/>
    <s v="AED"/>
    <n v="69.040000000000006"/>
    <n v="660.13"/>
    <n v="552.3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2406"/>
    <s v="1532006379:1"/>
    <s v="1.04.00"/>
    <s v="FP Labor - Remote Services Ctr"/>
    <s v="Labor"/>
    <s v="CO-C"/>
    <d v="2026-04-08T00:00:00"/>
    <x v="14"/>
    <x v="31"/>
    <s v="Employee"/>
    <s v="6"/>
    <s v="ORCL IN OSSI"/>
    <s v="504506 - 94V:GSC-eStudio"/>
    <s v="09B2"/>
    <s v="Y"/>
    <s v="Y"/>
    <s v="Unrecognized"/>
    <n v="8"/>
    <s v="AED"/>
    <n v="110.94"/>
    <n v="754.44"/>
    <n v="887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782152"/>
    <s v="3029639033066241"/>
    <s v="1.04.00"/>
    <s v="FP Labor - Remote Services Ctr"/>
    <s v="Labor"/>
    <s v="CO-C"/>
    <d v="2026-04-08T00:00:00"/>
    <x v="14"/>
    <x v="24"/>
    <s v="Billable Contractor"/>
    <m/>
    <s v="ORCL IN OSSI"/>
    <s v="504526 - 96V:GSC-DB &amp; Options"/>
    <s v="009B"/>
    <s v="Y"/>
    <s v="Y"/>
    <s v="Unrecognized"/>
    <n v="8"/>
    <s v="AED"/>
    <n v="110.94"/>
    <n v="754.44"/>
    <n v="887.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0855"/>
    <s v="1532650000:1"/>
    <s v="1.04.00"/>
    <s v="FP Labor - Remote Services Ctr"/>
    <s v="Labor"/>
    <s v="CO-C"/>
    <d v="2026-04-08T00:00:00"/>
    <x v="14"/>
    <x v="25"/>
    <s v="Employee"/>
    <s v="7"/>
    <s v="ORCL IN OSSI"/>
    <s v="504506 - 94V:GSC-eStudio"/>
    <s v="009B"/>
    <s v="Y"/>
    <s v="Y"/>
    <s v="Unrecognized"/>
    <n v="8"/>
    <s v="AED"/>
    <n v="110.94"/>
    <n v="813.38"/>
    <n v="887.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12170"/>
    <s v="1532832092:1"/>
    <s v="1.04.00"/>
    <s v="FP Labor - Remote Services Ctr"/>
    <s v="Labor"/>
    <s v="CO-C"/>
    <d v="2026-04-08T00:00:00"/>
    <x v="14"/>
    <x v="32"/>
    <s v="Employee"/>
    <s v="5"/>
    <s v="ORCL IN OSSI"/>
    <s v="504546 - 98V:GSC-PaaS"/>
    <s v="09B2"/>
    <s v="Y"/>
    <s v="Y"/>
    <s v="Unrecognized"/>
    <n v="8"/>
    <s v="AED"/>
    <n v="69.040000000000006"/>
    <n v="660.13"/>
    <n v="552.3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75215"/>
    <s v="1532559679:1"/>
    <s v="1.04.00"/>
    <s v="FP Labor - Remote Services Ctr"/>
    <s v="Labor"/>
    <s v="CO-C"/>
    <d v="2026-04-09T00:00:00"/>
    <x v="14"/>
    <x v="27"/>
    <s v="Employee"/>
    <s v="6"/>
    <s v="ORCL IN OSSI"/>
    <s v="504526 - 96V:GSC-DB &amp; Options"/>
    <s v="09B4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72789"/>
    <s v="1530777584:1"/>
    <s v="1.04.00"/>
    <s v="FP Labor - Remote Services Ctr"/>
    <s v="Labor"/>
    <s v="CO-C"/>
    <d v="2026-04-09T00:00:00"/>
    <x v="14"/>
    <x v="16"/>
    <s v="Employee"/>
    <s v="5"/>
    <s v="ORCL IN OSSI"/>
    <s v="504526 - 96V:GSC-DB &amp; Options"/>
    <s v="09B1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67085"/>
    <s v="1531996516:1"/>
    <s v="1.04.00"/>
    <s v="FP Labor - Remote Services Ctr"/>
    <s v="Labor"/>
    <s v="CO-C"/>
    <d v="2026-04-09T00:00:00"/>
    <x v="14"/>
    <x v="17"/>
    <s v="Employee"/>
    <s v="5"/>
    <s v="ORCL IN OSSI"/>
    <s v="504526 - 96V:GSC-DB &amp; Options"/>
    <s v="09B3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72436"/>
    <s v="1532977303:1"/>
    <s v="1.04.00"/>
    <s v="FP Labor - Remote Services Ctr"/>
    <s v="Labor"/>
    <s v="CO-C"/>
    <d v="2026-04-09T00:00:00"/>
    <x v="14"/>
    <x v="18"/>
    <s v="Employee"/>
    <s v="5"/>
    <s v="ORCL IN OSSI"/>
    <s v="504526 - 96V:GSC-DB &amp; Options"/>
    <s v="09B1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69036"/>
    <s v="1532007175:1"/>
    <s v="1.04.00"/>
    <s v="FP Labor - Remote Services Ctr"/>
    <s v="Labor"/>
    <s v="CO-C"/>
    <d v="2026-04-09T00:00:00"/>
    <x v="14"/>
    <x v="20"/>
    <s v="Employee"/>
    <s v="4"/>
    <s v="ORCL IN OSSI"/>
    <s v="504506 - 94V:GSC-eStudio"/>
    <s v="09B4"/>
    <s v="Y"/>
    <s v="Y"/>
    <s v="Unrecognized"/>
    <n v="8"/>
    <s v="AED"/>
    <n v="69.349999999999994"/>
    <n v="542.25"/>
    <n v="554.8300000000000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73676"/>
    <s v="1532785723:1"/>
    <s v="1.04.00"/>
    <s v="FP Labor - Remote Services Ctr"/>
    <s v="Labor"/>
    <s v="CO-C"/>
    <d v="2026-04-09T00:00:00"/>
    <x v="14"/>
    <x v="29"/>
    <s v="Employee"/>
    <s v="6"/>
    <s v="ORCL IN OSSI"/>
    <s v="504506 - 94V:GSC-eStudio"/>
    <s v="09B2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80462"/>
    <s v="3029639059069371"/>
    <s v="1.04.00"/>
    <s v="FP Labor - Remote Services Ctr"/>
    <s v="Labor"/>
    <s v="CO-C"/>
    <d v="2026-04-09T00:00:00"/>
    <x v="14"/>
    <x v="12"/>
    <s v="Billable Contractor"/>
    <m/>
    <s v="ORCL EG"/>
    <s v="509335 - U3K-EMEA Tech Delivery - PaaS"/>
    <s v="008U"/>
    <s v="Y"/>
    <s v="Y"/>
    <s v="Unrecognized"/>
    <n v="4"/>
    <s v="AED"/>
    <n v="68.86"/>
    <m/>
    <n v="275.44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72302"/>
    <s v="1532819912:1"/>
    <s v="1.04.00"/>
    <s v="FP Labor - Remote Services Ctr"/>
    <s v="Labor"/>
    <s v="CO-C"/>
    <d v="2026-04-09T00:00:00"/>
    <x v="14"/>
    <x v="22"/>
    <s v="Employee"/>
    <s v="6"/>
    <s v="ORCL IN OSSI"/>
    <s v="504526 - 96V:GSC-DB &amp; Options"/>
    <s v="09B2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72356"/>
    <s v="1531941415:1"/>
    <s v="1.04.00"/>
    <s v="FP Labor - Remote Services Ctr"/>
    <s v="Labor"/>
    <s v="CO-C"/>
    <d v="2026-04-09T00:00:00"/>
    <x v="14"/>
    <x v="23"/>
    <s v="Employee"/>
    <s v="5"/>
    <s v="ORCL IN OSSI"/>
    <s v="504526 - 96V:GSC-DB &amp; Options"/>
    <s v="09B1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67803"/>
    <s v="1532006380:1"/>
    <s v="1.04.00"/>
    <s v="FP Labor - Remote Services Ctr"/>
    <s v="Labor"/>
    <s v="CO-C"/>
    <d v="2026-04-09T00:00:00"/>
    <x v="14"/>
    <x v="31"/>
    <s v="Employee"/>
    <s v="6"/>
    <s v="ORCL IN OSSI"/>
    <s v="504506 - 94V:GSC-eStudio"/>
    <s v="09B2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42969"/>
    <s v="3029639033066261"/>
    <s v="1.04.00"/>
    <s v="FP Labor - Remote Services Ctr"/>
    <s v="Labor"/>
    <s v="CO-C"/>
    <d v="2026-04-09T00:00:00"/>
    <x v="14"/>
    <x v="24"/>
    <s v="Billable Contractor"/>
    <m/>
    <s v="ORCL IN OSSI"/>
    <s v="504526 - 96V:GSC-DB &amp; Options"/>
    <s v="009B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72276"/>
    <s v="1532650002:1"/>
    <s v="1.04.00"/>
    <s v="FP Labor - Remote Services Ctr"/>
    <s v="Labor"/>
    <s v="CO-C"/>
    <d v="2026-04-09T00:00:00"/>
    <x v="14"/>
    <x v="25"/>
    <s v="Employee"/>
    <s v="7"/>
    <s v="ORCL IN OSSI"/>
    <s v="504506 - 94V:GSC-eStudio"/>
    <s v="009B"/>
    <s v="Y"/>
    <s v="Y"/>
    <s v="Unrecognized"/>
    <n v="8"/>
    <s v="AED"/>
    <n v="111.44"/>
    <n v="813.38"/>
    <n v="891.5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70996"/>
    <s v="1532832093:1"/>
    <s v="1.04.00"/>
    <s v="FP Labor - Remote Services Ctr"/>
    <s v="Labor"/>
    <s v="CO-C"/>
    <d v="2026-04-09T00:00:00"/>
    <x v="14"/>
    <x v="32"/>
    <s v="Employee"/>
    <s v="5"/>
    <s v="ORCL IN OSSI"/>
    <s v="504546 - 98V:GSC-PaaS"/>
    <s v="09B2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2469"/>
    <s v="1532559680:1"/>
    <s v="1.04.00"/>
    <s v="FP Labor - Remote Services Ctr"/>
    <s v="Labor"/>
    <s v="CO-C"/>
    <d v="2026-04-10T00:00:00"/>
    <x v="14"/>
    <x v="27"/>
    <s v="Employee"/>
    <s v="6"/>
    <s v="ORCL IN OSSI"/>
    <s v="504526 - 96V:GSC-DB &amp; Options"/>
    <s v="09B4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5524"/>
    <s v="1530777585:1"/>
    <s v="1.04.00"/>
    <s v="FP Labor - Remote Services Ctr"/>
    <s v="Labor"/>
    <s v="CO-C"/>
    <d v="2026-04-10T00:00:00"/>
    <x v="14"/>
    <x v="16"/>
    <s v="Employee"/>
    <s v="5"/>
    <s v="ORCL IN OSSI"/>
    <s v="504526 - 96V:GSC-DB &amp; Options"/>
    <s v="09B1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2748"/>
    <s v="1531996517:1"/>
    <s v="1.04.00"/>
    <s v="FP Labor - Remote Services Ctr"/>
    <s v="Labor"/>
    <s v="CO-C"/>
    <d v="2026-04-10T00:00:00"/>
    <x v="14"/>
    <x v="17"/>
    <s v="Employee"/>
    <s v="5"/>
    <s v="ORCL IN OSSI"/>
    <s v="504526 - 96V:GSC-DB &amp; Options"/>
    <s v="09B3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7499"/>
    <s v="1532977304:1"/>
    <s v="1.04.00"/>
    <s v="FP Labor - Remote Services Ctr"/>
    <s v="Labor"/>
    <s v="CO-C"/>
    <d v="2026-04-10T00:00:00"/>
    <x v="14"/>
    <x v="18"/>
    <s v="Employee"/>
    <s v="5"/>
    <s v="ORCL IN OSSI"/>
    <s v="504526 - 96V:GSC-DB &amp; Options"/>
    <s v="09B1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2922"/>
    <s v="1532007176:1"/>
    <s v="1.04.00"/>
    <s v="FP Labor - Remote Services Ctr"/>
    <s v="Labor"/>
    <s v="CO-C"/>
    <d v="2026-04-10T00:00:00"/>
    <x v="14"/>
    <x v="20"/>
    <s v="Employee"/>
    <s v="4"/>
    <s v="ORCL IN OSSI"/>
    <s v="504506 - 94V:GSC-eStudio"/>
    <s v="09B4"/>
    <s v="Y"/>
    <s v="Y"/>
    <s v="Unrecognized"/>
    <n v="8"/>
    <s v="AED"/>
    <n v="69.349999999999994"/>
    <n v="542.25"/>
    <n v="554.8300000000000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4049"/>
    <s v="1532785722:1"/>
    <s v="1.04.00"/>
    <s v="FP Labor - Remote Services Ctr"/>
    <s v="Labor"/>
    <s v="CO-C"/>
    <d v="2026-04-10T00:00:00"/>
    <x v="14"/>
    <x v="29"/>
    <s v="Employee"/>
    <s v="6"/>
    <s v="ORCL IN OSSI"/>
    <s v="504506 - 94V:GSC-eStudio"/>
    <s v="09B2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1608"/>
    <s v="1532819913:1"/>
    <s v="1.04.00"/>
    <s v="FP Labor - Remote Services Ctr"/>
    <s v="Labor"/>
    <s v="CO-C"/>
    <d v="2026-04-10T00:00:00"/>
    <x v="14"/>
    <x v="22"/>
    <s v="Employee"/>
    <s v="6"/>
    <s v="ORCL IN OSSI"/>
    <s v="504526 - 96V:GSC-DB &amp; Options"/>
    <s v="09B2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0229"/>
    <s v="1531941416:1"/>
    <s v="1.04.00"/>
    <s v="FP Labor - Remote Services Ctr"/>
    <s v="Labor"/>
    <s v="CO-C"/>
    <d v="2026-04-10T00:00:00"/>
    <x v="14"/>
    <x v="23"/>
    <s v="Employee"/>
    <s v="5"/>
    <s v="ORCL IN OSSI"/>
    <s v="504526 - 96V:GSC-DB &amp; Options"/>
    <s v="09B1"/>
    <s v="Y"/>
    <s v="Y"/>
    <s v="Unrecognized"/>
    <n v="8"/>
    <s v="AED"/>
    <n v="69.349999999999994"/>
    <n v="660.13"/>
    <n v="554.8300000000000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0581"/>
    <s v="1532006381:1"/>
    <s v="1.04.00"/>
    <s v="FP Labor - Remote Services Ctr"/>
    <s v="Labor"/>
    <s v="CO-C"/>
    <d v="2026-04-10T00:00:00"/>
    <x v="14"/>
    <x v="31"/>
    <s v="Employee"/>
    <s v="6"/>
    <s v="ORCL IN OSSI"/>
    <s v="504506 - 94V:GSC-eStudio"/>
    <s v="09B2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838532"/>
    <s v="3029639033066281"/>
    <s v="1.04.00"/>
    <s v="FP Labor - Remote Services Ctr"/>
    <s v="Labor"/>
    <s v="CO-C"/>
    <d v="2026-04-10T00:00:00"/>
    <x v="14"/>
    <x v="24"/>
    <s v="Billable Contractor"/>
    <m/>
    <s v="ORCL IN OSSI"/>
    <s v="504526 - 96V:GSC-DB &amp; Options"/>
    <s v="009B"/>
    <s v="Y"/>
    <s v="Y"/>
    <s v="Unrecognized"/>
    <n v="8"/>
    <s v="AED"/>
    <n v="111.44"/>
    <n v="754.44"/>
    <n v="891.5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52091"/>
    <s v="1532650003:1"/>
    <s v="1.04.00"/>
    <s v="FP Labor - Remote Services Ctr"/>
    <s v="Labor"/>
    <s v="CO-C"/>
    <d v="2026-04-10T00:00:00"/>
    <x v="14"/>
    <x v="25"/>
    <s v="Employee"/>
    <s v="7"/>
    <s v="ORCL IN OSSI"/>
    <s v="504506 - 94V:GSC-eStudio"/>
    <s v="009B"/>
    <s v="Y"/>
    <s v="Y"/>
    <s v="Unrecognized"/>
    <n v="8"/>
    <s v="AED"/>
    <n v="111.44"/>
    <n v="813.38"/>
    <n v="891.5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86855"/>
    <s v="3029640523393582"/>
    <s v="1.04.00"/>
    <s v="FP Labor - Remote Services Ctr"/>
    <s v="Labor"/>
    <s v="CO-C"/>
    <d v="2026-04-11T00:00:00"/>
    <x v="15"/>
    <x v="2"/>
    <s v="Billable Contractor"/>
    <m/>
    <s v="ORCL EG"/>
    <s v="509485 - 73M: EMEA Business Analytics - PaaS"/>
    <s v="008U"/>
    <s v="Y"/>
    <s v="Y"/>
    <s v="Unrecognized"/>
    <n v="7"/>
    <s v="AED"/>
    <n v="53.16"/>
    <n v="542.25"/>
    <n v="372.1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7986845"/>
    <s v="3029640523393602"/>
    <s v="1.04.00"/>
    <s v="FP Labor - Remote Services Ctr"/>
    <s v="Labor"/>
    <s v="CO-C"/>
    <d v="2026-04-12T00:00:00"/>
    <x v="15"/>
    <x v="2"/>
    <s v="Billable Contractor"/>
    <m/>
    <s v="ORCL EG"/>
    <s v="509485 - 73M: EMEA Business Analytics - PaaS"/>
    <s v="008U"/>
    <s v="Y"/>
    <s v="Y"/>
    <s v="Unrecognized"/>
    <n v="7"/>
    <s v="AED"/>
    <n v="53.16"/>
    <n v="542.25"/>
    <n v="372.1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88996"/>
    <s v="1532559694:1"/>
    <s v="1.04.00"/>
    <s v="FP Labor - Remote Services Ctr"/>
    <s v="Labor"/>
    <s v="CO-C"/>
    <d v="2026-04-13T00:00:00"/>
    <x v="15"/>
    <x v="27"/>
    <s v="Employee"/>
    <s v="6"/>
    <s v="ORCL IN OSSI"/>
    <s v="504526 - 96V:GSC-DB &amp; Options"/>
    <s v="09B4"/>
    <s v="Y"/>
    <s v="Y"/>
    <s v="Unrecognized"/>
    <n v="8"/>
    <s v="AED"/>
    <n v="111.26"/>
    <n v="754.44"/>
    <n v="89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1135"/>
    <s v="1530777601:1"/>
    <s v="1.04.00"/>
    <s v="FP Labor - Remote Services Ctr"/>
    <s v="Labor"/>
    <s v="CO-C"/>
    <d v="2026-04-13T00:00:00"/>
    <x v="15"/>
    <x v="16"/>
    <s v="Employee"/>
    <s v="5"/>
    <s v="ORCL IN OSSI"/>
    <s v="504526 - 96V:GSC-DB &amp; Options"/>
    <s v="09B1"/>
    <s v="Y"/>
    <s v="Y"/>
    <s v="Unrecognized"/>
    <n v="8"/>
    <s v="AED"/>
    <n v="69.239999999999995"/>
    <n v="660.13"/>
    <n v="553.9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0677"/>
    <s v="1531996530:1"/>
    <s v="1.04.00"/>
    <s v="FP Labor - Remote Services Ctr"/>
    <s v="Labor"/>
    <s v="CO-C"/>
    <d v="2026-04-13T00:00:00"/>
    <x v="15"/>
    <x v="17"/>
    <s v="Employee"/>
    <s v="5"/>
    <s v="ORCL IN OSSI"/>
    <s v="504526 - 96V:GSC-DB &amp; Options"/>
    <s v="09B3"/>
    <s v="Y"/>
    <s v="Y"/>
    <s v="Unrecognized"/>
    <n v="8"/>
    <s v="AED"/>
    <n v="69.239999999999995"/>
    <n v="660.13"/>
    <n v="553.9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0487"/>
    <s v="1532977320:1"/>
    <s v="1.04.00"/>
    <s v="FP Labor - Remote Services Ctr"/>
    <s v="Labor"/>
    <s v="CO-C"/>
    <d v="2026-04-13T00:00:00"/>
    <x v="15"/>
    <x v="18"/>
    <s v="Employee"/>
    <s v="5"/>
    <s v="ORCL IN OSSI"/>
    <s v="504526 - 96V:GSC-DB &amp; Options"/>
    <s v="09B1"/>
    <s v="Y"/>
    <s v="Y"/>
    <s v="Unrecognized"/>
    <n v="8"/>
    <s v="AED"/>
    <n v="69.239999999999995"/>
    <n v="660.13"/>
    <n v="553.9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88077"/>
    <s v="1532035539:1"/>
    <s v="1.04.00"/>
    <s v="FP Labor - Remote Services Ctr"/>
    <s v="Labor"/>
    <s v="CO-C"/>
    <d v="2026-04-13T00:00:00"/>
    <x v="15"/>
    <x v="19"/>
    <s v="Employee"/>
    <s v="4"/>
    <s v="ORCL IN OSSI"/>
    <s v="504526 - 96V:GSC-DB &amp; Options"/>
    <s v="09B4"/>
    <s v="Y"/>
    <s v="Y"/>
    <s v="Unrecognized"/>
    <n v="8"/>
    <s v="AED"/>
    <n v="69.239999999999995"/>
    <n v="542.25"/>
    <n v="553.92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88564"/>
    <s v="1532007193:1"/>
    <s v="1.04.00"/>
    <s v="FP Labor - Remote Services Ctr"/>
    <s v="Labor"/>
    <s v="CO-C"/>
    <d v="2026-04-13T00:00:00"/>
    <x v="15"/>
    <x v="20"/>
    <s v="Employee"/>
    <s v="4"/>
    <s v="ORCL IN OSSI"/>
    <s v="504506 - 94V:GSC-eStudio"/>
    <s v="09B4"/>
    <s v="Y"/>
    <s v="Y"/>
    <s v="Unrecognized"/>
    <n v="8"/>
    <s v="AED"/>
    <n v="69.239999999999995"/>
    <n v="542.25"/>
    <n v="553.92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0724"/>
    <s v="1532785769:1"/>
    <s v="1.04.00"/>
    <s v="FP Labor - Remote Services Ctr"/>
    <s v="Labor"/>
    <s v="CO-C"/>
    <d v="2026-04-13T00:00:00"/>
    <x v="15"/>
    <x v="29"/>
    <s v="Employee"/>
    <s v="6"/>
    <s v="ORCL IN OSSI"/>
    <s v="504506 - 94V:GSC-eStudio"/>
    <s v="09B2"/>
    <s v="Y"/>
    <s v="Y"/>
    <s v="Unrecognized"/>
    <n v="8"/>
    <s v="AED"/>
    <n v="111.26"/>
    <n v="754.44"/>
    <n v="89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71818"/>
    <s v="3029639065354361"/>
    <s v="1.04.00"/>
    <s v="FP Labor - Remote Services Ctr"/>
    <s v="Labor"/>
    <s v="CO-C"/>
    <d v="2026-04-13T00:00:00"/>
    <x v="15"/>
    <x v="12"/>
    <s v="Billable Contractor"/>
    <m/>
    <s v="ORCL EG"/>
    <s v="509335 - U3K-EMEA Tech Delivery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71784"/>
    <s v="3029641442834881"/>
    <s v="1.04.00"/>
    <s v="FP Labor - Remote Services Ctr"/>
    <s v="Labor"/>
    <s v="CO-C"/>
    <d v="2026-04-13T00:00:00"/>
    <x v="15"/>
    <x v="13"/>
    <s v="Employee"/>
    <s v="8"/>
    <s v="ORCL EG"/>
    <s v="502416 - 3WP-EMEA Delivery Middleware - IaaS"/>
    <s v="008U"/>
    <s v="Y"/>
    <s v="Y"/>
    <s v="Unrecognized"/>
    <n v="8"/>
    <s v="AED"/>
    <n v="95.25"/>
    <n v="943.05"/>
    <n v="762.0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1903"/>
    <s v="1532819982:1"/>
    <s v="1.04.00"/>
    <s v="FP Labor - Remote Services Ctr"/>
    <s v="Labor"/>
    <s v="CO-C"/>
    <d v="2026-04-13T00:00:00"/>
    <x v="15"/>
    <x v="22"/>
    <s v="Employee"/>
    <s v="6"/>
    <s v="ORCL IN OSSI"/>
    <s v="504526 - 96V:GSC-DB &amp; Options"/>
    <s v="09B2"/>
    <s v="Y"/>
    <s v="Y"/>
    <s v="Unrecognized"/>
    <n v="8"/>
    <s v="AED"/>
    <n v="111.26"/>
    <n v="754.44"/>
    <n v="89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71799"/>
    <s v="3029640523393622"/>
    <s v="1.04.00"/>
    <s v="FP Labor - Remote Services Ctr"/>
    <s v="Labor"/>
    <s v="CO-C"/>
    <d v="2026-04-13T00:00:00"/>
    <x v="15"/>
    <x v="2"/>
    <s v="Billable Contractor"/>
    <m/>
    <s v="ORCL EG"/>
    <s v="509485 - 73M: EMEA Business Analytics - PaaS"/>
    <s v="008U"/>
    <s v="Y"/>
    <s v="Y"/>
    <s v="Unrecognized"/>
    <n v="7"/>
    <s v="AED"/>
    <n v="53.16"/>
    <n v="542.25"/>
    <n v="372.1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88998"/>
    <s v="1531941431:1"/>
    <s v="1.04.00"/>
    <s v="FP Labor - Remote Services Ctr"/>
    <s v="Labor"/>
    <s v="CO-C"/>
    <d v="2026-04-13T00:00:00"/>
    <x v="15"/>
    <x v="23"/>
    <s v="Employee"/>
    <s v="5"/>
    <s v="ORCL IN OSSI"/>
    <s v="504526 - 96V:GSC-DB &amp; Options"/>
    <s v="09B1"/>
    <s v="Y"/>
    <s v="Y"/>
    <s v="Unrecognized"/>
    <n v="8"/>
    <s v="AED"/>
    <n v="69.239999999999995"/>
    <n v="660.13"/>
    <n v="553.92999999999995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0566"/>
    <s v="1532006404:1"/>
    <s v="1.04.00"/>
    <s v="FP Labor - Remote Services Ctr"/>
    <s v="Labor"/>
    <s v="CO-C"/>
    <d v="2026-04-13T00:00:00"/>
    <x v="15"/>
    <x v="31"/>
    <s v="Employee"/>
    <s v="6"/>
    <s v="ORCL IN OSSI"/>
    <s v="504506 - 94V:GSC-eStudio"/>
    <s v="09B2"/>
    <s v="Y"/>
    <s v="Y"/>
    <s v="Unrecognized"/>
    <n v="8"/>
    <s v="AED"/>
    <n v="111.26"/>
    <n v="754.44"/>
    <n v="89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86354"/>
    <s v="3029639032585471"/>
    <s v="1.04.00"/>
    <s v="FP Labor - Remote Services Ctr"/>
    <s v="Labor"/>
    <s v="CO-C"/>
    <d v="2026-04-13T00:00:00"/>
    <x v="15"/>
    <x v="24"/>
    <s v="Billable Contractor"/>
    <m/>
    <s v="ORCL IN OSSI"/>
    <s v="504526 - 96V:GSC-DB &amp; Options"/>
    <s v="009B"/>
    <s v="Y"/>
    <s v="Y"/>
    <s v="Unrecognized"/>
    <n v="8"/>
    <s v="AED"/>
    <n v="111.26"/>
    <n v="754.44"/>
    <n v="890.0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0424"/>
    <s v="1532650016:1"/>
    <s v="1.04.00"/>
    <s v="FP Labor - Remote Services Ctr"/>
    <s v="Labor"/>
    <s v="CO-C"/>
    <d v="2026-04-13T00:00:00"/>
    <x v="15"/>
    <x v="25"/>
    <s v="Employee"/>
    <s v="7"/>
    <s v="ORCL IN OSSI"/>
    <s v="504506 - 94V:GSC-eStudio"/>
    <s v="009B"/>
    <s v="Y"/>
    <s v="Y"/>
    <s v="Unrecognized"/>
    <n v="8"/>
    <s v="AED"/>
    <n v="111.26"/>
    <n v="813.38"/>
    <n v="890.07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191710"/>
    <s v="1532832156:1"/>
    <s v="1.04.00"/>
    <s v="FP Labor - Remote Services Ctr"/>
    <s v="Labor"/>
    <s v="CO-C"/>
    <d v="2026-04-13T00:00:00"/>
    <x v="15"/>
    <x v="32"/>
    <s v="Employee"/>
    <s v="5"/>
    <s v="ORCL IN OSSI"/>
    <s v="504546 - 98V:GSC-PaaS"/>
    <s v="09B2"/>
    <s v="Y"/>
    <s v="Y"/>
    <s v="Unrecognized"/>
    <n v="8"/>
    <s v="AED"/>
    <n v="69.239999999999995"/>
    <n v="660.13"/>
    <n v="553.92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8901"/>
    <s v="1532559695:1"/>
    <s v="1.04.00"/>
    <s v="FP Labor - Remote Services Ctr"/>
    <s v="Labor"/>
    <s v="CO-C"/>
    <d v="2026-04-14T00:00:00"/>
    <x v="15"/>
    <x v="27"/>
    <s v="Employee"/>
    <s v="6"/>
    <s v="ORCL IN OSSI"/>
    <s v="504526 - 96V:GSC-DB &amp; Options"/>
    <s v="09B4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9025"/>
    <s v="1531996531:1"/>
    <s v="1.04.00"/>
    <s v="FP Labor - Remote Services Ctr"/>
    <s v="Labor"/>
    <s v="CO-C"/>
    <d v="2026-04-14T00:00:00"/>
    <x v="15"/>
    <x v="17"/>
    <s v="Employee"/>
    <s v="5"/>
    <s v="ORCL IN OSSI"/>
    <s v="504526 - 96V:GSC-DB &amp; Options"/>
    <s v="09B3"/>
    <s v="Y"/>
    <s v="Y"/>
    <s v="Unrecognized"/>
    <n v="8"/>
    <s v="AED"/>
    <n v="68.760000000000005"/>
    <n v="660.13"/>
    <n v="550.0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8121"/>
    <s v="1532035540:1"/>
    <s v="1.04.00"/>
    <s v="FP Labor - Remote Services Ctr"/>
    <s v="Labor"/>
    <s v="CO-C"/>
    <d v="2026-04-14T00:00:00"/>
    <x v="15"/>
    <x v="19"/>
    <s v="Employee"/>
    <s v="4"/>
    <s v="ORCL IN OSSI"/>
    <s v="504526 - 96V:GSC-DB &amp; Options"/>
    <s v="09B4"/>
    <s v="Y"/>
    <s v="Y"/>
    <s v="Unrecognized"/>
    <n v="8"/>
    <s v="AED"/>
    <n v="68.760000000000005"/>
    <n v="542.25"/>
    <n v="550.05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9422"/>
    <s v="1532007194:1"/>
    <s v="1.04.00"/>
    <s v="FP Labor - Remote Services Ctr"/>
    <s v="Labor"/>
    <s v="CO-C"/>
    <d v="2026-04-14T00:00:00"/>
    <x v="15"/>
    <x v="20"/>
    <s v="Employee"/>
    <s v="4"/>
    <s v="ORCL IN OSSI"/>
    <s v="504506 - 94V:GSC-eStudio"/>
    <s v="09B4"/>
    <s v="Y"/>
    <s v="Y"/>
    <s v="Unrecognized"/>
    <n v="8"/>
    <s v="AED"/>
    <n v="68.760000000000005"/>
    <n v="542.25"/>
    <n v="550.05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8537"/>
    <s v="1532785768:1"/>
    <s v="1.04.00"/>
    <s v="FP Labor - Remote Services Ctr"/>
    <s v="Labor"/>
    <s v="CO-C"/>
    <d v="2026-04-14T00:00:00"/>
    <x v="15"/>
    <x v="29"/>
    <s v="Employee"/>
    <s v="6"/>
    <s v="ORCL IN OSSI"/>
    <s v="504506 - 94V:GSC-eStudio"/>
    <s v="09B2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40341"/>
    <s v="3029639065354391"/>
    <s v="1.04.00"/>
    <s v="FP Labor - Remote Services Ctr"/>
    <s v="Labor"/>
    <s v="CO-C"/>
    <d v="2026-04-14T00:00:00"/>
    <x v="15"/>
    <x v="12"/>
    <s v="Billable Contractor"/>
    <m/>
    <s v="ORCL EG"/>
    <s v="509335 - U3K-EMEA Tech Delivery - PaaS"/>
    <s v="008U"/>
    <s v="Y"/>
    <s v="Y"/>
    <s v="Unrecognized"/>
    <n v="8"/>
    <s v="AED"/>
    <n v="68.86"/>
    <m/>
    <n v="550.88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40371"/>
    <s v="3029641442834901"/>
    <s v="1.04.00"/>
    <s v="FP Labor - Remote Services Ctr"/>
    <s v="Labor"/>
    <s v="CO-C"/>
    <d v="2026-04-14T00:00:00"/>
    <x v="15"/>
    <x v="13"/>
    <s v="Employee"/>
    <s v="8"/>
    <s v="ORCL EG"/>
    <s v="502416 - 3WP-EMEA Delivery Middleware - IaaS"/>
    <s v="008U"/>
    <s v="Y"/>
    <s v="Y"/>
    <s v="Unrecognized"/>
    <n v="8"/>
    <s v="AED"/>
    <n v="95.25"/>
    <n v="943.05"/>
    <n v="762.0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8688"/>
    <s v="1532819983:1"/>
    <s v="1.04.00"/>
    <s v="FP Labor - Remote Services Ctr"/>
    <s v="Labor"/>
    <s v="CO-C"/>
    <d v="2026-04-14T00:00:00"/>
    <x v="15"/>
    <x v="22"/>
    <s v="Employee"/>
    <s v="6"/>
    <s v="ORCL IN OSSI"/>
    <s v="504526 - 96V:GSC-DB &amp; Options"/>
    <s v="09B2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40304"/>
    <s v="3029640523393642"/>
    <s v="1.04.00"/>
    <s v="FP Labor - Remote Services Ctr"/>
    <s v="Labor"/>
    <s v="CO-C"/>
    <d v="2026-04-14T00:00:00"/>
    <x v="15"/>
    <x v="2"/>
    <s v="Billable Contractor"/>
    <m/>
    <s v="ORCL EG"/>
    <s v="509485 - 73M: EMEA Business Analytics - PaaS"/>
    <s v="008U"/>
    <s v="Y"/>
    <s v="Y"/>
    <s v="Unrecognized"/>
    <n v="7"/>
    <s v="AED"/>
    <n v="53.16"/>
    <n v="542.25"/>
    <n v="372.1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9517"/>
    <s v="1532006405:1"/>
    <s v="1.04.00"/>
    <s v="FP Labor - Remote Services Ctr"/>
    <s v="Labor"/>
    <s v="CO-C"/>
    <d v="2026-04-14T00:00:00"/>
    <x v="15"/>
    <x v="31"/>
    <s v="Employee"/>
    <s v="6"/>
    <s v="ORCL IN OSSI"/>
    <s v="504506 - 94V:GSC-eStudio"/>
    <s v="09B2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8829"/>
    <s v="1532650017:1"/>
    <s v="1.04.00"/>
    <s v="FP Labor - Remote Services Ctr"/>
    <s v="Labor"/>
    <s v="CO-C"/>
    <d v="2026-04-14T00:00:00"/>
    <x v="15"/>
    <x v="25"/>
    <s v="Employee"/>
    <s v="7"/>
    <s v="ORCL IN OSSI"/>
    <s v="504506 - 94V:GSC-eStudio"/>
    <s v="009B"/>
    <s v="Y"/>
    <s v="Y"/>
    <s v="Unrecognized"/>
    <n v="8"/>
    <s v="AED"/>
    <n v="110.48"/>
    <n v="813.38"/>
    <n v="883.8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8936"/>
    <s v="1532832153:1"/>
    <s v="1.04.00"/>
    <s v="FP Labor - Remote Services Ctr"/>
    <s v="Labor"/>
    <s v="CO-C"/>
    <d v="2026-04-14T00:00:00"/>
    <x v="15"/>
    <x v="32"/>
    <s v="Employee"/>
    <s v="5"/>
    <s v="ORCL IN OSSI"/>
    <s v="504546 - 98V:GSC-PaaS"/>
    <s v="09B2"/>
    <s v="Y"/>
    <s v="Y"/>
    <s v="Unrecognized"/>
    <n v="8"/>
    <s v="AED"/>
    <n v="68.760000000000005"/>
    <n v="660.13"/>
    <n v="550.0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6471"/>
    <s v="1532559696:1"/>
    <s v="1.04.00"/>
    <s v="FP Labor - Remote Services Ctr"/>
    <s v="Labor"/>
    <s v="CO-C"/>
    <d v="2026-04-15T00:00:00"/>
    <x v="15"/>
    <x v="27"/>
    <s v="Employee"/>
    <s v="6"/>
    <s v="ORCL IN OSSI"/>
    <s v="504526 - 96V:GSC-DB &amp; Options"/>
    <s v="09B4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2263"/>
    <s v="1530777602:1"/>
    <s v="1.04.00"/>
    <s v="FP Labor - Remote Services Ctr"/>
    <s v="Labor"/>
    <s v="CO-C"/>
    <d v="2026-04-15T00:00:00"/>
    <x v="15"/>
    <x v="16"/>
    <s v="Employee"/>
    <s v="5"/>
    <s v="ORCL IN OSSI"/>
    <s v="504526 - 96V:GSC-DB &amp; Options"/>
    <s v="09B1"/>
    <s v="Y"/>
    <s v="Y"/>
    <s v="Unrecognized"/>
    <n v="8"/>
    <s v="AED"/>
    <n v="68.760000000000005"/>
    <n v="660.13"/>
    <n v="550.0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5063"/>
    <s v="1531996532:1"/>
    <s v="1.04.00"/>
    <s v="FP Labor - Remote Services Ctr"/>
    <s v="Labor"/>
    <s v="CO-C"/>
    <d v="2026-04-15T00:00:00"/>
    <x v="15"/>
    <x v="17"/>
    <s v="Employee"/>
    <s v="5"/>
    <s v="ORCL IN OSSI"/>
    <s v="504526 - 96V:GSC-DB &amp; Options"/>
    <s v="09B3"/>
    <s v="Y"/>
    <s v="Y"/>
    <s v="Unrecognized"/>
    <n v="8"/>
    <s v="AED"/>
    <n v="68.760000000000005"/>
    <n v="660.13"/>
    <n v="550.0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1299"/>
    <s v="1532977322:1"/>
    <s v="1.04.00"/>
    <s v="FP Labor - Remote Services Ctr"/>
    <s v="Labor"/>
    <s v="CO-C"/>
    <d v="2026-04-15T00:00:00"/>
    <x v="15"/>
    <x v="18"/>
    <s v="Employee"/>
    <s v="5"/>
    <s v="ORCL IN OSSI"/>
    <s v="504526 - 96V:GSC-DB &amp; Options"/>
    <s v="09B1"/>
    <s v="Y"/>
    <s v="Y"/>
    <s v="Unrecognized"/>
    <n v="8"/>
    <s v="AED"/>
    <n v="68.760000000000005"/>
    <n v="660.13"/>
    <n v="550.0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5042"/>
    <s v="1532035541:1"/>
    <s v="1.04.00"/>
    <s v="FP Labor - Remote Services Ctr"/>
    <s v="Labor"/>
    <s v="CO-C"/>
    <d v="2026-04-15T00:00:00"/>
    <x v="15"/>
    <x v="19"/>
    <s v="Employee"/>
    <s v="4"/>
    <s v="ORCL IN OSSI"/>
    <s v="504526 - 96V:GSC-DB &amp; Options"/>
    <s v="09B4"/>
    <s v="Y"/>
    <s v="Y"/>
    <s v="Unrecognized"/>
    <n v="8"/>
    <s v="AED"/>
    <n v="68.760000000000005"/>
    <n v="542.25"/>
    <n v="550.05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5622"/>
    <s v="1532007195:1"/>
    <s v="1.04.00"/>
    <s v="FP Labor - Remote Services Ctr"/>
    <s v="Labor"/>
    <s v="CO-C"/>
    <d v="2026-04-15T00:00:00"/>
    <x v="15"/>
    <x v="20"/>
    <s v="Employee"/>
    <s v="4"/>
    <s v="ORCL IN OSSI"/>
    <s v="504506 - 94V:GSC-eStudio"/>
    <s v="09B4"/>
    <s v="Y"/>
    <s v="Y"/>
    <s v="Unrecognized"/>
    <n v="8"/>
    <s v="AED"/>
    <n v="68.760000000000005"/>
    <n v="542.25"/>
    <n v="550.05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5189"/>
    <s v="1532785767:1"/>
    <s v="1.04.00"/>
    <s v="FP Labor - Remote Services Ctr"/>
    <s v="Labor"/>
    <s v="CO-C"/>
    <d v="2026-04-15T00:00:00"/>
    <x v="15"/>
    <x v="29"/>
    <s v="Employee"/>
    <s v="6"/>
    <s v="ORCL IN OSSI"/>
    <s v="504506 - 94V:GSC-eStudio"/>
    <s v="09B2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10980"/>
    <s v="3029639065354421"/>
    <s v="1.04.00"/>
    <s v="FP Labor - Remote Services Ctr"/>
    <s v="Labor"/>
    <s v="CO-C"/>
    <d v="2026-04-15T00:00:00"/>
    <x v="15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6624"/>
    <s v="1532819984:1"/>
    <s v="1.04.00"/>
    <s v="FP Labor - Remote Services Ctr"/>
    <s v="Labor"/>
    <s v="CO-C"/>
    <d v="2026-04-15T00:00:00"/>
    <x v="15"/>
    <x v="22"/>
    <s v="Employee"/>
    <s v="6"/>
    <s v="ORCL IN OSSI"/>
    <s v="504526 - 96V:GSC-DB &amp; Options"/>
    <s v="09B2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4909"/>
    <s v="1531941432:1"/>
    <s v="1.04.00"/>
    <s v="FP Labor - Remote Services Ctr"/>
    <s v="Labor"/>
    <s v="CO-C"/>
    <d v="2026-04-15T00:00:00"/>
    <x v="15"/>
    <x v="23"/>
    <s v="Employee"/>
    <s v="5"/>
    <s v="ORCL IN OSSI"/>
    <s v="504526 - 96V:GSC-DB &amp; Options"/>
    <s v="09B1"/>
    <s v="Y"/>
    <s v="Y"/>
    <s v="Unrecognized"/>
    <n v="8"/>
    <s v="AED"/>
    <n v="68.760000000000005"/>
    <n v="660.13"/>
    <n v="550.0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52297"/>
    <s v="1532006406:1"/>
    <s v="1.04.00"/>
    <s v="FP Labor - Remote Services Ctr"/>
    <s v="Labor"/>
    <s v="CO-C"/>
    <d v="2026-04-15T00:00:00"/>
    <x v="15"/>
    <x v="31"/>
    <s v="Employee"/>
    <s v="6"/>
    <s v="ORCL IN OSSI"/>
    <s v="504506 - 94V:GSC-eStudio"/>
    <s v="09B2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299172"/>
    <s v="3029639032585501"/>
    <s v="1.04.00"/>
    <s v="FP Labor - Remote Services Ctr"/>
    <s v="Labor"/>
    <s v="CO-C"/>
    <d v="2026-04-15T00:00:00"/>
    <x v="15"/>
    <x v="24"/>
    <s v="Billable Contractor"/>
    <m/>
    <s v="ORCL IN OSSI"/>
    <s v="504526 - 96V:GSC-DB &amp; Options"/>
    <s v="009B"/>
    <s v="Y"/>
    <s v="Y"/>
    <s v="Unrecognized"/>
    <n v="8"/>
    <s v="AED"/>
    <n v="110.48"/>
    <n v="754.44"/>
    <n v="883.8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4976"/>
    <s v="1532650018:1"/>
    <s v="1.04.00"/>
    <s v="FP Labor - Remote Services Ctr"/>
    <s v="Labor"/>
    <s v="CO-C"/>
    <d v="2026-04-15T00:00:00"/>
    <x v="15"/>
    <x v="25"/>
    <s v="Employee"/>
    <s v="7"/>
    <s v="ORCL IN OSSI"/>
    <s v="504506 - 94V:GSC-eStudio"/>
    <s v="009B"/>
    <s v="Y"/>
    <s v="Y"/>
    <s v="Unrecognized"/>
    <n v="8"/>
    <s v="AED"/>
    <n v="110.48"/>
    <n v="813.38"/>
    <n v="883.86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04843"/>
    <s v="1532832154:1"/>
    <s v="1.04.00"/>
    <s v="FP Labor - Remote Services Ctr"/>
    <s v="Labor"/>
    <s v="CO-C"/>
    <d v="2026-04-15T00:00:00"/>
    <x v="15"/>
    <x v="32"/>
    <s v="Employee"/>
    <s v="5"/>
    <s v="ORCL IN OSSI"/>
    <s v="504546 - 98V:GSC-PaaS"/>
    <s v="09B2"/>
    <s v="Y"/>
    <s v="Y"/>
    <s v="Unrecognized"/>
    <n v="8"/>
    <s v="AED"/>
    <n v="68.760000000000005"/>
    <n v="660.13"/>
    <n v="550.05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5818"/>
    <s v="1532559697:1"/>
    <s v="1.04.00"/>
    <s v="FP Labor - Remote Services Ctr"/>
    <s v="Labor"/>
    <s v="CO-C"/>
    <d v="2026-04-16T00:00:00"/>
    <x v="15"/>
    <x v="27"/>
    <s v="Employee"/>
    <s v="6"/>
    <s v="ORCL IN OSSI"/>
    <s v="504526 - 96V:GSC-DB &amp; Options"/>
    <s v="09B4"/>
    <s v="Y"/>
    <s v="Y"/>
    <s v="Unrecognized"/>
    <n v="8"/>
    <s v="AED"/>
    <n v="110.49"/>
    <n v="754.44"/>
    <n v="883.9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6780"/>
    <s v="1530777603:1"/>
    <s v="1.04.00"/>
    <s v="FP Labor - Remote Services Ctr"/>
    <s v="Labor"/>
    <s v="CO-C"/>
    <d v="2026-04-16T00:00:00"/>
    <x v="15"/>
    <x v="16"/>
    <s v="Employee"/>
    <s v="5"/>
    <s v="ORCL IN OSSI"/>
    <s v="504526 - 96V:GSC-DB &amp; Options"/>
    <s v="09B1"/>
    <s v="Y"/>
    <s v="Y"/>
    <s v="Unrecognized"/>
    <n v="8"/>
    <s v="AED"/>
    <n v="68.760000000000005"/>
    <n v="660.13"/>
    <n v="550.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7249"/>
    <s v="1531996533:1"/>
    <s v="1.04.00"/>
    <s v="FP Labor - Remote Services Ctr"/>
    <s v="Labor"/>
    <s v="CO-C"/>
    <d v="2026-04-16T00:00:00"/>
    <x v="15"/>
    <x v="17"/>
    <s v="Employee"/>
    <s v="5"/>
    <s v="ORCL IN OSSI"/>
    <s v="504526 - 96V:GSC-DB &amp; Options"/>
    <s v="09B3"/>
    <s v="Y"/>
    <s v="Y"/>
    <s v="Unrecognized"/>
    <n v="8"/>
    <s v="AED"/>
    <n v="68.760000000000005"/>
    <n v="660.13"/>
    <n v="550.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12417"/>
    <s v="1532977323:1"/>
    <s v="1.04.00"/>
    <s v="FP Labor - Remote Services Ctr"/>
    <s v="Labor"/>
    <s v="CO-C"/>
    <d v="2026-04-16T00:00:00"/>
    <x v="15"/>
    <x v="18"/>
    <s v="Employee"/>
    <s v="5"/>
    <s v="ORCL IN OSSI"/>
    <s v="504526 - 96V:GSC-DB &amp; Options"/>
    <s v="09B1"/>
    <s v="Y"/>
    <s v="Y"/>
    <s v="Unrecognized"/>
    <n v="8"/>
    <s v="AED"/>
    <n v="68.760000000000005"/>
    <n v="660.13"/>
    <n v="550.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8453"/>
    <s v="1532035542:1"/>
    <s v="1.04.00"/>
    <s v="FP Labor - Remote Services Ctr"/>
    <s v="Labor"/>
    <s v="CO-C"/>
    <d v="2026-04-16T00:00:00"/>
    <x v="15"/>
    <x v="19"/>
    <s v="Employee"/>
    <s v="4"/>
    <s v="ORCL IN OSSI"/>
    <s v="504526 - 96V:GSC-DB &amp; Options"/>
    <s v="09B4"/>
    <s v="Y"/>
    <s v="Y"/>
    <s v="Unrecognized"/>
    <n v="8"/>
    <s v="AED"/>
    <n v="68.760000000000005"/>
    <n v="542.25"/>
    <n v="550.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10678"/>
    <s v="1532007196:1"/>
    <s v="1.04.00"/>
    <s v="FP Labor - Remote Services Ctr"/>
    <s v="Labor"/>
    <s v="CO-C"/>
    <d v="2026-04-16T00:00:00"/>
    <x v="15"/>
    <x v="20"/>
    <s v="Employee"/>
    <s v="4"/>
    <s v="ORCL IN OSSI"/>
    <s v="504506 - 94V:GSC-eStudio"/>
    <s v="09B4"/>
    <s v="Y"/>
    <s v="Y"/>
    <s v="Unrecognized"/>
    <n v="8"/>
    <s v="AED"/>
    <n v="68.760000000000005"/>
    <n v="542.25"/>
    <n v="550.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9187"/>
    <s v="1532785766:1"/>
    <s v="1.04.00"/>
    <s v="FP Labor - Remote Services Ctr"/>
    <s v="Labor"/>
    <s v="CO-C"/>
    <d v="2026-04-16T00:00:00"/>
    <x v="15"/>
    <x v="29"/>
    <s v="Employee"/>
    <s v="6"/>
    <s v="ORCL IN OSSI"/>
    <s v="504506 - 94V:GSC-eStudio"/>
    <s v="09B2"/>
    <s v="Y"/>
    <s v="Y"/>
    <s v="Unrecognized"/>
    <n v="8"/>
    <s v="AED"/>
    <n v="110.49"/>
    <n v="754.44"/>
    <n v="883.9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90825"/>
    <s v="3029639065354451"/>
    <s v="1.04.00"/>
    <s v="FP Labor - Remote Services Ctr"/>
    <s v="Labor"/>
    <s v="CO-C"/>
    <d v="2026-04-16T00:00:00"/>
    <x v="15"/>
    <x v="12"/>
    <s v="Billable Contractor"/>
    <m/>
    <s v="ORCL EG"/>
    <s v="509335 - U3K-EMEA Tech Delivery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7947"/>
    <s v="1532819986:1"/>
    <s v="1.04.00"/>
    <s v="FP Labor - Remote Services Ctr"/>
    <s v="Labor"/>
    <s v="CO-C"/>
    <d v="2026-04-16T00:00:00"/>
    <x v="15"/>
    <x v="22"/>
    <s v="Employee"/>
    <s v="6"/>
    <s v="ORCL IN OSSI"/>
    <s v="504526 - 96V:GSC-DB &amp; Options"/>
    <s v="09B2"/>
    <s v="Y"/>
    <s v="Y"/>
    <s v="Unrecognized"/>
    <n v="8"/>
    <s v="AED"/>
    <n v="110.49"/>
    <n v="754.44"/>
    <n v="883.9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9218"/>
    <s v="1531941433:1"/>
    <s v="1.04.00"/>
    <s v="FP Labor - Remote Services Ctr"/>
    <s v="Labor"/>
    <s v="CO-C"/>
    <d v="2026-04-16T00:00:00"/>
    <x v="15"/>
    <x v="23"/>
    <s v="Employee"/>
    <s v="5"/>
    <s v="ORCL IN OSSI"/>
    <s v="504526 - 96V:GSC-DB &amp; Options"/>
    <s v="09B1"/>
    <s v="Y"/>
    <s v="Y"/>
    <s v="Unrecognized"/>
    <n v="8"/>
    <s v="AED"/>
    <n v="68.760000000000005"/>
    <n v="660.13"/>
    <n v="550.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5667"/>
    <s v="1532006407:1"/>
    <s v="1.04.00"/>
    <s v="FP Labor - Remote Services Ctr"/>
    <s v="Labor"/>
    <s v="CO-C"/>
    <d v="2026-04-16T00:00:00"/>
    <x v="15"/>
    <x v="31"/>
    <s v="Employee"/>
    <s v="6"/>
    <s v="ORCL IN OSSI"/>
    <s v="504506 - 94V:GSC-eStudio"/>
    <s v="09B2"/>
    <s v="Y"/>
    <s v="Y"/>
    <s v="Unrecognized"/>
    <n v="8"/>
    <s v="AED"/>
    <n v="110.49"/>
    <n v="754.44"/>
    <n v="883.9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382717"/>
    <s v="3029639032585521"/>
    <s v="1.04.00"/>
    <s v="FP Labor - Remote Services Ctr"/>
    <s v="Labor"/>
    <s v="CO-C"/>
    <d v="2026-04-16T00:00:00"/>
    <x v="15"/>
    <x v="24"/>
    <s v="Billable Contractor"/>
    <m/>
    <s v="ORCL IN OSSI"/>
    <s v="504526 - 96V:GSC-DB &amp; Options"/>
    <s v="009B"/>
    <s v="Y"/>
    <s v="Y"/>
    <s v="Unrecognized"/>
    <n v="8"/>
    <s v="AED"/>
    <n v="110.49"/>
    <n v="754.44"/>
    <n v="883.9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06916"/>
    <s v="1532650020:1"/>
    <s v="1.04.00"/>
    <s v="FP Labor - Remote Services Ctr"/>
    <s v="Labor"/>
    <s v="CO-C"/>
    <d v="2026-04-16T00:00:00"/>
    <x v="15"/>
    <x v="25"/>
    <s v="Employee"/>
    <s v="7"/>
    <s v="ORCL IN OSSI"/>
    <s v="504506 - 94V:GSC-eStudio"/>
    <s v="009B"/>
    <s v="Y"/>
    <s v="Y"/>
    <s v="Unrecognized"/>
    <n v="8"/>
    <s v="AED"/>
    <n v="110.49"/>
    <n v="813.38"/>
    <n v="883.9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14893"/>
    <s v="1532832155:1"/>
    <s v="1.04.00"/>
    <s v="FP Labor - Remote Services Ctr"/>
    <s v="Labor"/>
    <s v="CO-C"/>
    <d v="2026-04-16T00:00:00"/>
    <x v="15"/>
    <x v="32"/>
    <s v="Employee"/>
    <s v="5"/>
    <s v="ORCL IN OSSI"/>
    <s v="504546 - 98V:GSC-PaaS"/>
    <s v="09B2"/>
    <s v="Y"/>
    <s v="Y"/>
    <s v="Unrecognized"/>
    <n v="8"/>
    <s v="AED"/>
    <n v="68.760000000000005"/>
    <n v="660.13"/>
    <n v="550.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42013"/>
    <s v="1532559698:1"/>
    <s v="1.04.00"/>
    <s v="FP Labor - Remote Services Ctr"/>
    <s v="Labor"/>
    <s v="CO-C"/>
    <d v="2026-04-17T00:00:00"/>
    <x v="15"/>
    <x v="27"/>
    <s v="Employee"/>
    <s v="6"/>
    <s v="ORCL IN OSSI"/>
    <s v="504526 - 96V:GSC-DB &amp; Options"/>
    <s v="09B4"/>
    <s v="Y"/>
    <s v="Y"/>
    <s v="Unrecognized"/>
    <n v="8"/>
    <s v="AED"/>
    <n v="110.7"/>
    <n v="754.44"/>
    <n v="885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43929"/>
    <s v="1530777604:1"/>
    <s v="1.04.00"/>
    <s v="FP Labor - Remote Services Ctr"/>
    <s v="Labor"/>
    <s v="CO-C"/>
    <d v="2026-04-17T00:00:00"/>
    <x v="15"/>
    <x v="16"/>
    <s v="Employee"/>
    <s v="5"/>
    <s v="ORCL IN OSSI"/>
    <s v="504526 - 96V:GSC-DB &amp; Options"/>
    <s v="09B1"/>
    <s v="Y"/>
    <s v="Y"/>
    <s v="Unrecognized"/>
    <n v="8"/>
    <s v="AED"/>
    <n v="68.89"/>
    <n v="660.13"/>
    <n v="551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500634"/>
    <s v="1531996534:1"/>
    <s v="1.04.00"/>
    <s v="FP Labor - Remote Services Ctr"/>
    <s v="Labor"/>
    <s v="CO-C"/>
    <d v="2026-04-17T00:00:00"/>
    <x v="15"/>
    <x v="17"/>
    <s v="Employee"/>
    <s v="5"/>
    <s v="ORCL IN OSSI"/>
    <s v="504526 - 96V:GSC-DB &amp; Options"/>
    <s v="09B3"/>
    <s v="Y"/>
    <s v="Y"/>
    <s v="Unrecognized"/>
    <n v="8"/>
    <s v="AED"/>
    <n v="68.89"/>
    <n v="660.13"/>
    <n v="551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99754"/>
    <s v="1532977324:1"/>
    <s v="1.04.00"/>
    <s v="FP Labor - Remote Services Ctr"/>
    <s v="Labor"/>
    <s v="CO-C"/>
    <d v="2026-04-17T00:00:00"/>
    <x v="15"/>
    <x v="18"/>
    <s v="Employee"/>
    <s v="5"/>
    <s v="ORCL IN OSSI"/>
    <s v="504526 - 96V:GSC-DB &amp; Options"/>
    <s v="09B1"/>
    <s v="Y"/>
    <s v="Y"/>
    <s v="Unrecognized"/>
    <n v="8"/>
    <s v="AED"/>
    <n v="68.89"/>
    <n v="660.13"/>
    <n v="551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99386"/>
    <s v="1532035543:1"/>
    <s v="1.04.00"/>
    <s v="FP Labor - Remote Services Ctr"/>
    <s v="Labor"/>
    <s v="CO-C"/>
    <d v="2026-04-17T00:00:00"/>
    <x v="15"/>
    <x v="19"/>
    <s v="Employee"/>
    <s v="4"/>
    <s v="ORCL IN OSSI"/>
    <s v="504526 - 96V:GSC-DB &amp; Options"/>
    <s v="09B4"/>
    <s v="Y"/>
    <s v="Y"/>
    <s v="Unrecognized"/>
    <n v="8"/>
    <s v="AED"/>
    <n v="68.89"/>
    <n v="542.25"/>
    <n v="551.1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98994"/>
    <s v="1532007197:1"/>
    <s v="1.04.00"/>
    <s v="FP Labor - Remote Services Ctr"/>
    <s v="Labor"/>
    <s v="CO-C"/>
    <d v="2026-04-17T00:00:00"/>
    <x v="15"/>
    <x v="20"/>
    <s v="Employee"/>
    <s v="4"/>
    <s v="ORCL IN OSSI"/>
    <s v="504506 - 94V:GSC-eStudio"/>
    <s v="09B4"/>
    <s v="Y"/>
    <s v="Y"/>
    <s v="Unrecognized"/>
    <n v="8"/>
    <s v="AED"/>
    <n v="68.89"/>
    <n v="542.25"/>
    <n v="551.1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43644"/>
    <s v="1532785765:1"/>
    <s v="1.04.00"/>
    <s v="FP Labor - Remote Services Ctr"/>
    <s v="Labor"/>
    <s v="CO-C"/>
    <d v="2026-04-17T00:00:00"/>
    <x v="15"/>
    <x v="29"/>
    <s v="Employee"/>
    <s v="6"/>
    <s v="ORCL IN OSSI"/>
    <s v="504506 - 94V:GSC-eStudio"/>
    <s v="09B2"/>
    <s v="Y"/>
    <s v="Y"/>
    <s v="Unrecognized"/>
    <n v="8"/>
    <s v="AED"/>
    <n v="110.7"/>
    <n v="754.44"/>
    <n v="885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500501"/>
    <s v="1532819987:1"/>
    <s v="1.04.00"/>
    <s v="FP Labor - Remote Services Ctr"/>
    <s v="Labor"/>
    <s v="CO-C"/>
    <d v="2026-04-17T00:00:00"/>
    <x v="15"/>
    <x v="22"/>
    <s v="Employee"/>
    <s v="6"/>
    <s v="ORCL IN OSSI"/>
    <s v="504526 - 96V:GSC-DB &amp; Options"/>
    <s v="09B2"/>
    <s v="Y"/>
    <s v="Y"/>
    <s v="Unrecognized"/>
    <n v="8"/>
    <s v="AED"/>
    <n v="110.7"/>
    <n v="754.44"/>
    <n v="885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99043"/>
    <s v="1531941434:1"/>
    <s v="1.04.00"/>
    <s v="FP Labor - Remote Services Ctr"/>
    <s v="Labor"/>
    <s v="CO-C"/>
    <d v="2026-04-17T00:00:00"/>
    <x v="15"/>
    <x v="23"/>
    <s v="Employee"/>
    <s v="5"/>
    <s v="ORCL IN OSSI"/>
    <s v="504526 - 96V:GSC-DB &amp; Options"/>
    <s v="09B1"/>
    <s v="Y"/>
    <s v="Y"/>
    <s v="Unrecognized"/>
    <n v="8"/>
    <s v="AED"/>
    <n v="68.89"/>
    <n v="660.13"/>
    <n v="551.1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94118"/>
    <s v="1532006408:1"/>
    <s v="1.04.00"/>
    <s v="FP Labor - Remote Services Ctr"/>
    <s v="Labor"/>
    <s v="CO-C"/>
    <d v="2026-04-17T00:00:00"/>
    <x v="15"/>
    <x v="31"/>
    <s v="Employee"/>
    <s v="6"/>
    <s v="ORCL IN OSSI"/>
    <s v="504506 - 94V:GSC-eStudio"/>
    <s v="09B2"/>
    <s v="Y"/>
    <s v="Y"/>
    <s v="Unrecognized"/>
    <n v="8"/>
    <s v="AED"/>
    <n v="110.7"/>
    <n v="754.44"/>
    <n v="885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53962"/>
    <s v="3029639032585541"/>
    <s v="1.04.00"/>
    <s v="FP Labor - Remote Services Ctr"/>
    <s v="Labor"/>
    <s v="CO-C"/>
    <d v="2026-04-17T00:00:00"/>
    <x v="15"/>
    <x v="24"/>
    <s v="Billable Contractor"/>
    <m/>
    <s v="ORCL IN OSSI"/>
    <s v="504526 - 96V:GSC-DB &amp; Options"/>
    <s v="009B"/>
    <s v="Y"/>
    <s v="Y"/>
    <s v="Unrecognized"/>
    <n v="8"/>
    <s v="AED"/>
    <n v="110.7"/>
    <n v="754.44"/>
    <n v="885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443940"/>
    <s v="1532650021:1"/>
    <s v="1.04.00"/>
    <s v="FP Labor - Remote Services Ctr"/>
    <s v="Labor"/>
    <s v="CO-C"/>
    <d v="2026-04-17T00:00:00"/>
    <x v="15"/>
    <x v="25"/>
    <s v="Employee"/>
    <s v="7"/>
    <s v="ORCL IN OSSI"/>
    <s v="504506 - 94V:GSC-eStudio"/>
    <s v="009B"/>
    <s v="Y"/>
    <s v="Y"/>
    <s v="Unrecognized"/>
    <n v="8"/>
    <s v="AED"/>
    <n v="110.7"/>
    <n v="813.38"/>
    <n v="885.6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10682"/>
    <s v="3029649831941611"/>
    <s v="1.04.00"/>
    <s v="FP Labor - Remote Services Ctr"/>
    <s v="Labor"/>
    <s v="CO-C"/>
    <d v="2026-04-18T00:00:00"/>
    <x v="16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699112"/>
    <s v="3029640523350062"/>
    <s v="1.04.00"/>
    <s v="FP Labor - Remote Services Ctr"/>
    <s v="Labor"/>
    <s v="CO-C"/>
    <d v="2026-04-18T00:00:00"/>
    <x v="16"/>
    <x v="2"/>
    <s v="Billable Contractor"/>
    <m/>
    <s v="ORCL EG"/>
    <s v="509485 - 73M: EMEA Business Analytics - PaaS"/>
    <s v="008U"/>
    <s v="Y"/>
    <s v="Y"/>
    <s v="Unrecognized"/>
    <n v="7"/>
    <s v="AED"/>
    <n v="54.51"/>
    <n v="542.25"/>
    <n v="381.59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10681"/>
    <s v="3029649831941631"/>
    <s v="1.04.00"/>
    <s v="FP Labor - Remote Services Ctr"/>
    <s v="Labor"/>
    <s v="CO-C"/>
    <d v="2026-04-19T00:00:00"/>
    <x v="16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699110"/>
    <s v="3029640523350082"/>
    <s v="1.04.00"/>
    <s v="FP Labor - Remote Services Ctr"/>
    <s v="Labor"/>
    <s v="CO-C"/>
    <d v="2026-04-19T00:00:00"/>
    <x v="16"/>
    <x v="2"/>
    <s v="Billable Contractor"/>
    <m/>
    <s v="ORCL EG"/>
    <s v="509485 - 73M: EMEA Business Analytics - PaaS"/>
    <s v="008U"/>
    <s v="Y"/>
    <s v="Y"/>
    <s v="Unrecognized"/>
    <n v="7"/>
    <s v="AED"/>
    <n v="54.51"/>
    <n v="542.25"/>
    <n v="381.59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10683"/>
    <s v="3029649828910081"/>
    <s v="1.04.00"/>
    <s v="FP Labor - Remote Services Ctr"/>
    <s v="Labor"/>
    <s v="CO-C"/>
    <d v="2026-04-20T00:00:00"/>
    <x v="16"/>
    <x v="34"/>
    <s v="Billable Contractor"/>
    <m/>
    <s v="ORCL AE"/>
    <s v="501325 - 4CF - EMEA Tech Delivery -Exadata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37815"/>
    <s v="1532559739:1"/>
    <s v="1.04.00"/>
    <s v="FP Labor - Remote Services Ctr"/>
    <s v="Labor"/>
    <s v="CO-C"/>
    <d v="2026-04-20T00:00:00"/>
    <x v="16"/>
    <x v="27"/>
    <s v="Employee"/>
    <s v="6"/>
    <s v="ORCL IN OSSI"/>
    <s v="504526 - 96V:GSC-DB &amp; Options"/>
    <s v="09B4"/>
    <s v="Y"/>
    <s v="Y"/>
    <s v="Unrecognized"/>
    <n v="8"/>
    <s v="AED"/>
    <n v="111.03"/>
    <n v="754.44"/>
    <n v="888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5731"/>
    <s v="1530777633:1"/>
    <s v="1.04.00"/>
    <s v="FP Labor - Remote Services Ctr"/>
    <s v="Labor"/>
    <s v="CO-C"/>
    <d v="2026-04-20T00:00:00"/>
    <x v="16"/>
    <x v="16"/>
    <s v="Employee"/>
    <s v="5"/>
    <s v="ORCL IN OSSI"/>
    <s v="504526 - 96V:GSC-DB &amp; Options"/>
    <s v="09B1"/>
    <s v="Y"/>
    <s v="Y"/>
    <s v="Unrecognized"/>
    <n v="8"/>
    <s v="AED"/>
    <n v="69.099999999999994"/>
    <n v="660.13"/>
    <n v="552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5608"/>
    <s v="1531996547:1"/>
    <s v="1.04.00"/>
    <s v="FP Labor - Remote Services Ctr"/>
    <s v="Labor"/>
    <s v="CO-C"/>
    <d v="2026-04-20T00:00:00"/>
    <x v="16"/>
    <x v="17"/>
    <s v="Employee"/>
    <s v="5"/>
    <s v="ORCL IN OSSI"/>
    <s v="504526 - 96V:GSC-DB &amp; Options"/>
    <s v="09B3"/>
    <s v="Y"/>
    <s v="Y"/>
    <s v="Unrecognized"/>
    <n v="8"/>
    <s v="AED"/>
    <n v="69.099999999999994"/>
    <n v="660.13"/>
    <n v="552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38049"/>
    <s v="1532977337:1"/>
    <s v="1.04.00"/>
    <s v="FP Labor - Remote Services Ctr"/>
    <s v="Labor"/>
    <s v="CO-C"/>
    <d v="2026-04-20T00:00:00"/>
    <x v="16"/>
    <x v="18"/>
    <s v="Employee"/>
    <s v="5"/>
    <s v="ORCL IN OSSI"/>
    <s v="504526 - 96V:GSC-DB &amp; Options"/>
    <s v="09B1"/>
    <s v="Y"/>
    <s v="Y"/>
    <s v="Unrecognized"/>
    <n v="8"/>
    <s v="AED"/>
    <n v="69.099999999999994"/>
    <n v="660.13"/>
    <n v="552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5237"/>
    <s v="1532035575:1"/>
    <s v="1.04.00"/>
    <s v="FP Labor - Remote Services Ctr"/>
    <s v="Labor"/>
    <s v="CO-C"/>
    <d v="2026-04-20T00:00:00"/>
    <x v="16"/>
    <x v="19"/>
    <s v="Employee"/>
    <s v="4"/>
    <s v="ORCL IN OSSI"/>
    <s v="504526 - 96V:GSC-DB &amp; Options"/>
    <s v="09B4"/>
    <s v="Y"/>
    <s v="Y"/>
    <s v="Unrecognized"/>
    <n v="8"/>
    <s v="AED"/>
    <n v="69.099999999999994"/>
    <n v="542.25"/>
    <n v="552.7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6124"/>
    <s v="1532007223:1"/>
    <s v="1.04.00"/>
    <s v="FP Labor - Remote Services Ctr"/>
    <s v="Labor"/>
    <s v="CO-C"/>
    <d v="2026-04-20T00:00:00"/>
    <x v="16"/>
    <x v="20"/>
    <s v="Employee"/>
    <s v="4"/>
    <s v="ORCL IN OSSI"/>
    <s v="504506 - 94V:GSC-eStudio"/>
    <s v="09B4"/>
    <s v="Y"/>
    <s v="Y"/>
    <s v="Unrecognized"/>
    <n v="8"/>
    <s v="AED"/>
    <n v="69.099999999999994"/>
    <n v="542.25"/>
    <n v="552.7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5173"/>
    <s v="1532785842:1"/>
    <s v="1.04.00"/>
    <s v="FP Labor - Remote Services Ctr"/>
    <s v="Labor"/>
    <s v="CO-C"/>
    <d v="2026-04-20T00:00:00"/>
    <x v="16"/>
    <x v="29"/>
    <s v="Employee"/>
    <s v="6"/>
    <s v="ORCL IN OSSI"/>
    <s v="504506 - 94V:GSC-eStudio"/>
    <s v="09B2"/>
    <s v="Y"/>
    <s v="Y"/>
    <s v="Unrecognized"/>
    <n v="8"/>
    <s v="AED"/>
    <n v="111.03"/>
    <n v="754.44"/>
    <n v="888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15648"/>
    <s v="3029639063816201"/>
    <s v="1.04.00"/>
    <s v="FP Labor - Remote Services Ctr"/>
    <s v="Labor"/>
    <s v="CO-C"/>
    <d v="2026-04-20T00:00:00"/>
    <x v="16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5915"/>
    <s v="1532820030:1"/>
    <s v="1.04.00"/>
    <s v="FP Labor - Remote Services Ctr"/>
    <s v="Labor"/>
    <s v="CO-C"/>
    <d v="2026-04-20T00:00:00"/>
    <x v="16"/>
    <x v="22"/>
    <s v="Employee"/>
    <s v="6"/>
    <s v="ORCL IN OSSI"/>
    <s v="504526 - 96V:GSC-DB &amp; Options"/>
    <s v="09B2"/>
    <s v="Y"/>
    <s v="Y"/>
    <s v="Unrecognized"/>
    <n v="8"/>
    <s v="AED"/>
    <n v="111.03"/>
    <n v="754.44"/>
    <n v="888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15619"/>
    <s v="3029640523350102"/>
    <s v="1.04.00"/>
    <s v="FP Labor - Remote Services Ctr"/>
    <s v="Labor"/>
    <s v="CO-C"/>
    <d v="2026-04-20T00:00:00"/>
    <x v="16"/>
    <x v="2"/>
    <s v="Billable Contractor"/>
    <m/>
    <s v="ORCL EG"/>
    <s v="509485 - 73M: EMEA Business Analytics - PaaS"/>
    <s v="008U"/>
    <s v="Y"/>
    <s v="Y"/>
    <s v="Unrecognized"/>
    <n v="7"/>
    <s v="AED"/>
    <n v="54.51"/>
    <n v="542.25"/>
    <n v="381.59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7178"/>
    <s v="1531941505:1"/>
    <s v="1.04.00"/>
    <s v="FP Labor - Remote Services Ctr"/>
    <s v="Labor"/>
    <s v="CO-C"/>
    <d v="2026-04-20T00:00:00"/>
    <x v="16"/>
    <x v="23"/>
    <s v="Employee"/>
    <s v="5"/>
    <s v="ORCL IN OSSI"/>
    <s v="504526 - 96V:GSC-DB &amp; Options"/>
    <s v="09B1"/>
    <s v="Y"/>
    <s v="Y"/>
    <s v="Unrecognized"/>
    <n v="8"/>
    <s v="AED"/>
    <n v="69.099999999999994"/>
    <n v="660.13"/>
    <n v="552.77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26530"/>
    <s v="1532006476:1"/>
    <s v="1.04.00"/>
    <s v="FP Labor - Remote Services Ctr"/>
    <s v="Labor"/>
    <s v="CO-C"/>
    <d v="2026-04-20T00:00:00"/>
    <x v="16"/>
    <x v="31"/>
    <s v="Employee"/>
    <s v="6"/>
    <s v="ORCL IN OSSI"/>
    <s v="504506 - 94V:GSC-eStudio"/>
    <s v="09B2"/>
    <s v="Y"/>
    <s v="Y"/>
    <s v="Unrecognized"/>
    <n v="8"/>
    <s v="AED"/>
    <n v="111.03"/>
    <n v="754.44"/>
    <n v="888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678970"/>
    <s v="3029639033822611"/>
    <s v="1.04.00"/>
    <s v="FP Labor - Remote Services Ctr"/>
    <s v="Labor"/>
    <s v="CO-C"/>
    <d v="2026-04-20T00:00:00"/>
    <x v="16"/>
    <x v="24"/>
    <s v="Billable Contractor"/>
    <m/>
    <s v="ORCL IN OSSI"/>
    <s v="504526 - 96V:GSC-DB &amp; Options"/>
    <s v="009B"/>
    <s v="Y"/>
    <s v="Y"/>
    <s v="Unrecognized"/>
    <n v="8"/>
    <s v="AED"/>
    <n v="111.03"/>
    <n v="754.44"/>
    <n v="888.2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38065"/>
    <s v="1532650050:1"/>
    <s v="1.04.00"/>
    <s v="FP Labor - Remote Services Ctr"/>
    <s v="Labor"/>
    <s v="CO-C"/>
    <d v="2026-04-20T00:00:00"/>
    <x v="16"/>
    <x v="25"/>
    <s v="Employee"/>
    <s v="7"/>
    <s v="ORCL IN OSSI"/>
    <s v="504506 - 94V:GSC-eStudio"/>
    <s v="009B"/>
    <s v="Y"/>
    <s v="Y"/>
    <s v="Unrecognized"/>
    <n v="8"/>
    <s v="AED"/>
    <n v="111.03"/>
    <n v="813.38"/>
    <n v="888.21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38098"/>
    <s v="1532832172:1"/>
    <s v="1.04.00"/>
    <s v="FP Labor - Remote Services Ctr"/>
    <s v="Labor"/>
    <s v="CO-C"/>
    <d v="2026-04-20T00:00:00"/>
    <x v="16"/>
    <x v="32"/>
    <s v="Employee"/>
    <s v="5"/>
    <s v="ORCL IN OSSI"/>
    <s v="504546 - 98V:GSC-PaaS"/>
    <s v="09B2"/>
    <s v="Y"/>
    <s v="Y"/>
    <s v="Unrecognized"/>
    <n v="8"/>
    <s v="AED"/>
    <n v="69.099999999999994"/>
    <n v="660.13"/>
    <n v="552.7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5235"/>
    <s v="1532559740:1"/>
    <s v="1.04.00"/>
    <s v="FP Labor - Remote Services Ctr"/>
    <s v="Labor"/>
    <s v="CO-C"/>
    <d v="2026-04-21T00:00:00"/>
    <x v="16"/>
    <x v="27"/>
    <s v="Employee"/>
    <s v="6"/>
    <s v="ORCL IN OSSI"/>
    <s v="504526 - 96V:GSC-DB &amp; Options"/>
    <s v="09B4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4778"/>
    <s v="1530777634:1"/>
    <s v="1.04.00"/>
    <s v="FP Labor - Remote Services Ctr"/>
    <s v="Labor"/>
    <s v="CO-C"/>
    <d v="2026-04-21T00:00:00"/>
    <x v="16"/>
    <x v="16"/>
    <s v="Employee"/>
    <s v="5"/>
    <s v="ORCL IN OSSI"/>
    <s v="504526 - 96V:GSC-DB &amp; Options"/>
    <s v="09B1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4502"/>
    <s v="1531996548:1"/>
    <s v="1.04.00"/>
    <s v="FP Labor - Remote Services Ctr"/>
    <s v="Labor"/>
    <s v="CO-C"/>
    <d v="2026-04-21T00:00:00"/>
    <x v="16"/>
    <x v="17"/>
    <s v="Employee"/>
    <s v="5"/>
    <s v="ORCL IN OSSI"/>
    <s v="504526 - 96V:GSC-DB &amp; Options"/>
    <s v="09B3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4777"/>
    <s v="1532977338:1"/>
    <s v="1.04.00"/>
    <s v="FP Labor - Remote Services Ctr"/>
    <s v="Labor"/>
    <s v="CO-C"/>
    <d v="2026-04-21T00:00:00"/>
    <x v="16"/>
    <x v="18"/>
    <s v="Employee"/>
    <s v="5"/>
    <s v="ORCL IN OSSI"/>
    <s v="504526 - 96V:GSC-DB &amp; Options"/>
    <s v="09B1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4776"/>
    <s v="1532035576:1"/>
    <s v="1.04.00"/>
    <s v="FP Labor - Remote Services Ctr"/>
    <s v="Labor"/>
    <s v="CO-C"/>
    <d v="2026-04-21T00:00:00"/>
    <x v="16"/>
    <x v="19"/>
    <s v="Employee"/>
    <s v="4"/>
    <s v="ORCL IN OSSI"/>
    <s v="504526 - 96V:GSC-DB &amp; Options"/>
    <s v="09B4"/>
    <s v="Y"/>
    <s v="Y"/>
    <s v="Unrecognized"/>
    <n v="8"/>
    <s v="AED"/>
    <n v="68.95"/>
    <n v="542.25"/>
    <n v="551.6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4240"/>
    <s v="1532007224:1"/>
    <s v="1.04.00"/>
    <s v="FP Labor - Remote Services Ctr"/>
    <s v="Labor"/>
    <s v="CO-C"/>
    <d v="2026-04-21T00:00:00"/>
    <x v="16"/>
    <x v="20"/>
    <s v="Employee"/>
    <s v="4"/>
    <s v="ORCL IN OSSI"/>
    <s v="504506 - 94V:GSC-eStudio"/>
    <s v="09B4"/>
    <s v="Y"/>
    <s v="Y"/>
    <s v="Unrecognized"/>
    <n v="8"/>
    <s v="AED"/>
    <n v="68.95"/>
    <n v="542.25"/>
    <n v="551.6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6012"/>
    <s v="1532785841:1"/>
    <s v="1.04.00"/>
    <s v="FP Labor - Remote Services Ctr"/>
    <s v="Labor"/>
    <s v="CO-C"/>
    <d v="2026-04-21T00:00:00"/>
    <x v="16"/>
    <x v="29"/>
    <s v="Employee"/>
    <s v="6"/>
    <s v="ORCL IN OSSI"/>
    <s v="504506 - 94V:GSC-eStudio"/>
    <s v="09B2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7733"/>
    <s v="3029639063816231"/>
    <s v="1.04.00"/>
    <s v="FP Labor - Remote Services Ctr"/>
    <s v="Labor"/>
    <s v="CO-C"/>
    <d v="2026-04-21T00:00:00"/>
    <x v="16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7661"/>
    <s v="3029641442707001"/>
    <s v="1.04.00"/>
    <s v="FP Labor - Remote Services Ctr"/>
    <s v="Labor"/>
    <s v="CO-C"/>
    <d v="2026-04-21T00:00:00"/>
    <x v="16"/>
    <x v="13"/>
    <s v="Employee"/>
    <s v="8"/>
    <s v="ORCL EG"/>
    <s v="502416 - 3WP-EMEA Delivery Middleware - IaaS"/>
    <s v="008U"/>
    <s v="Y"/>
    <s v="Y"/>
    <s v="Unrecognized"/>
    <n v="8"/>
    <s v="AED"/>
    <n v="97.38"/>
    <n v="943.05"/>
    <n v="779.0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4214"/>
    <s v="1532820031:1"/>
    <s v="1.04.00"/>
    <s v="FP Labor - Remote Services Ctr"/>
    <s v="Labor"/>
    <s v="CO-C"/>
    <d v="2026-04-21T00:00:00"/>
    <x v="16"/>
    <x v="22"/>
    <s v="Employee"/>
    <s v="6"/>
    <s v="ORCL IN OSSI"/>
    <s v="504526 - 96V:GSC-DB &amp; Options"/>
    <s v="09B2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7677"/>
    <s v="3029640523350122"/>
    <s v="1.04.00"/>
    <s v="FP Labor - Remote Services Ctr"/>
    <s v="Labor"/>
    <s v="CO-C"/>
    <d v="2026-04-21T00:00:00"/>
    <x v="16"/>
    <x v="2"/>
    <s v="Billable Contractor"/>
    <m/>
    <s v="ORCL EG"/>
    <s v="509485 - 73M: EMEA Business Analytics - PaaS"/>
    <s v="008U"/>
    <s v="Y"/>
    <s v="Y"/>
    <s v="Unrecognized"/>
    <n v="7"/>
    <s v="AED"/>
    <n v="54.35"/>
    <n v="542.25"/>
    <n v="380.42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6331"/>
    <s v="1531941509:1"/>
    <s v="1.04.00"/>
    <s v="FP Labor - Remote Services Ctr"/>
    <s v="Labor"/>
    <s v="CO-C"/>
    <d v="2026-04-21T00:00:00"/>
    <x v="16"/>
    <x v="23"/>
    <s v="Employee"/>
    <s v="5"/>
    <s v="ORCL IN OSSI"/>
    <s v="504526 - 96V:GSC-DB &amp; Options"/>
    <s v="09B1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5794"/>
    <s v="1532006477:1"/>
    <s v="1.04.00"/>
    <s v="FP Labor - Remote Services Ctr"/>
    <s v="Labor"/>
    <s v="CO-C"/>
    <d v="2026-04-21T00:00:00"/>
    <x v="16"/>
    <x v="31"/>
    <s v="Employee"/>
    <s v="6"/>
    <s v="ORCL IN OSSI"/>
    <s v="504506 - 94V:GSC-eStudio"/>
    <s v="09B2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91391"/>
    <s v="3029639033822631"/>
    <s v="1.04.00"/>
    <s v="FP Labor - Remote Services Ctr"/>
    <s v="Labor"/>
    <s v="CO-C"/>
    <d v="2026-04-21T00:00:00"/>
    <x v="16"/>
    <x v="24"/>
    <s v="Billable Contractor"/>
    <m/>
    <s v="ORCL IN OSSI"/>
    <s v="504526 - 96V:GSC-DB &amp; Options"/>
    <s v="009B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5471"/>
    <s v="1532650051:1"/>
    <s v="1.04.00"/>
    <s v="FP Labor - Remote Services Ctr"/>
    <s v="Labor"/>
    <s v="CO-C"/>
    <d v="2026-04-21T00:00:00"/>
    <x v="16"/>
    <x v="25"/>
    <s v="Employee"/>
    <s v="7"/>
    <s v="ORCL IN OSSI"/>
    <s v="504506 - 94V:GSC-eStudio"/>
    <s v="009B"/>
    <s v="Y"/>
    <s v="Y"/>
    <s v="Unrecognized"/>
    <n v="8"/>
    <s v="AED"/>
    <n v="110.79"/>
    <n v="813.38"/>
    <n v="886.3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756826"/>
    <s v="1532832169:1"/>
    <s v="1.04.00"/>
    <s v="FP Labor - Remote Services Ctr"/>
    <s v="Labor"/>
    <s v="CO-C"/>
    <d v="2026-04-21T00:00:00"/>
    <x v="16"/>
    <x v="32"/>
    <s v="Employee"/>
    <s v="5"/>
    <s v="ORCL IN OSSI"/>
    <s v="504546 - 98V:GSC-PaaS"/>
    <s v="09B2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10670"/>
    <s v="3029649828910141"/>
    <s v="1.04.00"/>
    <s v="FP Labor - Remote Services Ctr"/>
    <s v="Labor"/>
    <s v="CO-C"/>
    <d v="2026-04-22T00:00:00"/>
    <x v="16"/>
    <x v="34"/>
    <s v="Billable Contractor"/>
    <m/>
    <s v="ORCL AE"/>
    <s v="501325 - 4CF - EMEA Tech Delivery -Exadata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8968"/>
    <s v="1532559741:1"/>
    <s v="1.04.00"/>
    <s v="FP Labor - Remote Services Ctr"/>
    <s v="Labor"/>
    <s v="CO-C"/>
    <d v="2026-04-22T00:00:00"/>
    <x v="16"/>
    <x v="27"/>
    <s v="Employee"/>
    <s v="6"/>
    <s v="ORCL IN OSSI"/>
    <s v="504526 - 96V:GSC-DB &amp; Options"/>
    <s v="09B4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7160"/>
    <s v="1530777635:1"/>
    <s v="1.04.00"/>
    <s v="FP Labor - Remote Services Ctr"/>
    <s v="Labor"/>
    <s v="CO-C"/>
    <d v="2026-04-22T00:00:00"/>
    <x v="16"/>
    <x v="16"/>
    <s v="Employee"/>
    <s v="5"/>
    <s v="ORCL IN OSSI"/>
    <s v="504526 - 96V:GSC-DB &amp; Options"/>
    <s v="09B1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7834"/>
    <s v="1531996549:1"/>
    <s v="1.04.00"/>
    <s v="FP Labor - Remote Services Ctr"/>
    <s v="Labor"/>
    <s v="CO-C"/>
    <d v="2026-04-22T00:00:00"/>
    <x v="16"/>
    <x v="17"/>
    <s v="Employee"/>
    <s v="5"/>
    <s v="ORCL IN OSSI"/>
    <s v="504526 - 96V:GSC-DB &amp; Options"/>
    <s v="09B3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13847"/>
    <s v="1532977339:1"/>
    <s v="1.04.00"/>
    <s v="FP Labor - Remote Services Ctr"/>
    <s v="Labor"/>
    <s v="CO-C"/>
    <d v="2026-04-22T00:00:00"/>
    <x v="16"/>
    <x v="18"/>
    <s v="Employee"/>
    <s v="5"/>
    <s v="ORCL IN OSSI"/>
    <s v="504526 - 96V:GSC-DB &amp; Options"/>
    <s v="09B1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40363"/>
    <s v="1532035577:1"/>
    <s v="1.04.00"/>
    <s v="FP Labor - Remote Services Ctr"/>
    <s v="Labor"/>
    <s v="CO-C"/>
    <d v="2026-04-22T00:00:00"/>
    <x v="16"/>
    <x v="19"/>
    <s v="Employee"/>
    <s v="4"/>
    <s v="ORCL IN OSSI"/>
    <s v="504526 - 96V:GSC-DB &amp; Options"/>
    <s v="09B4"/>
    <s v="Y"/>
    <s v="Y"/>
    <s v="Unrecognized"/>
    <n v="8"/>
    <s v="AED"/>
    <n v="68.95"/>
    <n v="542.25"/>
    <n v="551.6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8897"/>
    <s v="1532007225:1"/>
    <s v="1.04.00"/>
    <s v="FP Labor - Remote Services Ctr"/>
    <s v="Labor"/>
    <s v="CO-C"/>
    <d v="2026-04-22T00:00:00"/>
    <x v="16"/>
    <x v="20"/>
    <s v="Employee"/>
    <s v="4"/>
    <s v="ORCL IN OSSI"/>
    <s v="504506 - 94V:GSC-eStudio"/>
    <s v="09B4"/>
    <s v="Y"/>
    <s v="Y"/>
    <s v="Unrecognized"/>
    <n v="8"/>
    <s v="AED"/>
    <n v="68.95"/>
    <n v="542.25"/>
    <n v="551.6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40226"/>
    <s v="1532785840:1"/>
    <s v="1.04.00"/>
    <s v="FP Labor - Remote Services Ctr"/>
    <s v="Labor"/>
    <s v="CO-C"/>
    <d v="2026-04-22T00:00:00"/>
    <x v="16"/>
    <x v="29"/>
    <s v="Employee"/>
    <s v="6"/>
    <s v="ORCL IN OSSI"/>
    <s v="504506 - 94V:GSC-eStudio"/>
    <s v="09B2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42899"/>
    <s v="3029639063816261"/>
    <s v="1.04.00"/>
    <s v="FP Labor - Remote Services Ctr"/>
    <s v="Labor"/>
    <s v="CO-C"/>
    <d v="2026-04-22T00:00:00"/>
    <x v="16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42795"/>
    <s v="3029641442707021"/>
    <s v="1.04.00"/>
    <s v="FP Labor - Remote Services Ctr"/>
    <s v="Labor"/>
    <s v="CO-C"/>
    <d v="2026-04-22T00:00:00"/>
    <x v="16"/>
    <x v="13"/>
    <s v="Employee"/>
    <s v="8"/>
    <s v="ORCL EG"/>
    <s v="502416 - 3WP-EMEA Delivery Middleware - IaaS"/>
    <s v="008U"/>
    <s v="Y"/>
    <s v="Y"/>
    <s v="Unrecognized"/>
    <n v="8"/>
    <s v="AED"/>
    <n v="97.38"/>
    <n v="943.05"/>
    <n v="779.02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40204"/>
    <s v="1532820032:1"/>
    <s v="1.04.00"/>
    <s v="FP Labor - Remote Services Ctr"/>
    <s v="Labor"/>
    <s v="CO-C"/>
    <d v="2026-04-22T00:00:00"/>
    <x v="16"/>
    <x v="22"/>
    <s v="Employee"/>
    <s v="6"/>
    <s v="ORCL IN OSSI"/>
    <s v="504526 - 96V:GSC-DB &amp; Options"/>
    <s v="09B2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8461"/>
    <s v="1531941506:1"/>
    <s v="1.04.00"/>
    <s v="FP Labor - Remote Services Ctr"/>
    <s v="Labor"/>
    <s v="CO-C"/>
    <d v="2026-04-22T00:00:00"/>
    <x v="16"/>
    <x v="23"/>
    <s v="Employee"/>
    <s v="5"/>
    <s v="ORCL IN OSSI"/>
    <s v="504526 - 96V:GSC-DB &amp; Options"/>
    <s v="09B1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13922"/>
    <s v="1532006478:1"/>
    <s v="1.04.00"/>
    <s v="FP Labor - Remote Services Ctr"/>
    <s v="Labor"/>
    <s v="CO-C"/>
    <d v="2026-04-22T00:00:00"/>
    <x v="16"/>
    <x v="31"/>
    <s v="Employee"/>
    <s v="6"/>
    <s v="ORCL IN OSSI"/>
    <s v="504506 - 94V:GSC-eStudio"/>
    <s v="09B2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2106"/>
    <s v="3029639033822651"/>
    <s v="1.04.00"/>
    <s v="FP Labor - Remote Services Ctr"/>
    <s v="Labor"/>
    <s v="CO-C"/>
    <d v="2026-04-22T00:00:00"/>
    <x v="16"/>
    <x v="24"/>
    <s v="Billable Contractor"/>
    <m/>
    <s v="ORCL IN OSSI"/>
    <s v="504526 - 96V:GSC-DB &amp; Options"/>
    <s v="009B"/>
    <s v="Y"/>
    <s v="Y"/>
    <s v="Unrecognized"/>
    <n v="8"/>
    <s v="AED"/>
    <n v="110.79"/>
    <n v="754.44"/>
    <n v="886.3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38413"/>
    <s v="1532650052:1"/>
    <s v="1.04.00"/>
    <s v="FP Labor - Remote Services Ctr"/>
    <s v="Labor"/>
    <s v="CO-C"/>
    <d v="2026-04-22T00:00:00"/>
    <x v="16"/>
    <x v="25"/>
    <s v="Employee"/>
    <s v="7"/>
    <s v="ORCL IN OSSI"/>
    <s v="504506 - 94V:GSC-eStudio"/>
    <s v="009B"/>
    <s v="Y"/>
    <s v="Y"/>
    <s v="Unrecognized"/>
    <n v="8"/>
    <s v="AED"/>
    <n v="110.79"/>
    <n v="813.38"/>
    <n v="886.35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14315"/>
    <s v="1532832170:1"/>
    <s v="1.04.00"/>
    <s v="FP Labor - Remote Services Ctr"/>
    <s v="Labor"/>
    <s v="CO-C"/>
    <d v="2026-04-22T00:00:00"/>
    <x v="16"/>
    <x v="32"/>
    <s v="Employee"/>
    <s v="5"/>
    <s v="ORCL IN OSSI"/>
    <s v="504546 - 98V:GSC-PaaS"/>
    <s v="09B2"/>
    <s v="Y"/>
    <s v="Y"/>
    <s v="Unrecognized"/>
    <n v="8"/>
    <s v="AED"/>
    <n v="68.95"/>
    <n v="660.13"/>
    <n v="551.6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10675"/>
    <s v="3029649828910181"/>
    <s v="1.04.00"/>
    <s v="FP Labor - Remote Services Ctr"/>
    <s v="Labor"/>
    <s v="CO-C"/>
    <d v="2026-04-23T00:00:00"/>
    <x v="16"/>
    <x v="34"/>
    <s v="Billable Contractor"/>
    <m/>
    <s v="ORCL AE"/>
    <s v="501325 - 4CF - EMEA Tech Delivery -Exadata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8534"/>
    <s v="1532559742:1"/>
    <s v="1.04.00"/>
    <s v="FP Labor - Remote Services Ctr"/>
    <s v="Labor"/>
    <s v="CO-C"/>
    <d v="2026-04-23T00:00:00"/>
    <x v="16"/>
    <x v="27"/>
    <s v="Employee"/>
    <s v="6"/>
    <s v="ORCL IN OSSI"/>
    <s v="504526 - 96V:GSC-DB &amp; Options"/>
    <s v="09B4"/>
    <s v="Y"/>
    <s v="Y"/>
    <s v="Unrecognized"/>
    <n v="8"/>
    <s v="AED"/>
    <n v="109.99"/>
    <n v="754.44"/>
    <n v="879.9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8907"/>
    <s v="1531996550:1"/>
    <s v="1.04.00"/>
    <s v="FP Labor - Remote Services Ctr"/>
    <s v="Labor"/>
    <s v="CO-C"/>
    <d v="2026-04-23T00:00:00"/>
    <x v="16"/>
    <x v="17"/>
    <s v="Employee"/>
    <s v="5"/>
    <s v="ORCL IN OSSI"/>
    <s v="504526 - 96V:GSC-DB &amp; Options"/>
    <s v="09B3"/>
    <s v="Y"/>
    <s v="Y"/>
    <s v="Unrecognized"/>
    <n v="8"/>
    <s v="AED"/>
    <n v="68.45"/>
    <n v="660.13"/>
    <n v="547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7260"/>
    <s v="1532035578:1"/>
    <s v="1.04.00"/>
    <s v="FP Labor - Remote Services Ctr"/>
    <s v="Labor"/>
    <s v="CO-C"/>
    <d v="2026-04-23T00:00:00"/>
    <x v="16"/>
    <x v="19"/>
    <s v="Employee"/>
    <s v="4"/>
    <s v="ORCL IN OSSI"/>
    <s v="504526 - 96V:GSC-DB &amp; Options"/>
    <s v="09B4"/>
    <s v="Y"/>
    <s v="Y"/>
    <s v="Unrecognized"/>
    <n v="8"/>
    <s v="AED"/>
    <n v="68.45"/>
    <n v="542.25"/>
    <n v="547.6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59650"/>
    <s v="1532007226:1"/>
    <s v="1.04.00"/>
    <s v="FP Labor - Remote Services Ctr"/>
    <s v="Labor"/>
    <s v="CO-C"/>
    <d v="2026-04-23T00:00:00"/>
    <x v="16"/>
    <x v="20"/>
    <s v="Employee"/>
    <s v="4"/>
    <s v="ORCL IN OSSI"/>
    <s v="504506 - 94V:GSC-eStudio"/>
    <s v="09B4"/>
    <s v="Y"/>
    <s v="Y"/>
    <s v="Unrecognized"/>
    <n v="8"/>
    <s v="AED"/>
    <n v="68.45"/>
    <n v="542.25"/>
    <n v="547.6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12532"/>
    <s v="1532785839:1"/>
    <s v="1.04.00"/>
    <s v="FP Labor - Remote Services Ctr"/>
    <s v="Labor"/>
    <s v="CO-C"/>
    <d v="2026-04-23T00:00:00"/>
    <x v="16"/>
    <x v="29"/>
    <s v="Employee"/>
    <s v="6"/>
    <s v="ORCL IN OSSI"/>
    <s v="504506 - 94V:GSC-eStudio"/>
    <s v="09B2"/>
    <s v="Y"/>
    <s v="Y"/>
    <s v="Unrecognized"/>
    <n v="8"/>
    <s v="AED"/>
    <n v="109.99"/>
    <n v="754.44"/>
    <n v="879.9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0733"/>
    <s v="3029639063816291"/>
    <s v="1.04.00"/>
    <s v="FP Labor - Remote Services Ctr"/>
    <s v="Labor"/>
    <s v="CO-C"/>
    <d v="2026-04-23T00:00:00"/>
    <x v="16"/>
    <x v="12"/>
    <s v="Billable Contractor"/>
    <m/>
    <s v="ORCL EG"/>
    <s v="509335 - U3K-EMEA Tech Delivery - PaaS"/>
    <s v="008U"/>
    <s v="Y"/>
    <s v="Y"/>
    <s v="Unrecognized"/>
    <n v="4"/>
    <s v="AED"/>
    <n v="68.86"/>
    <n v="542.25"/>
    <n v="275.44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17483"/>
    <s v="1532820034:1"/>
    <s v="1.04.00"/>
    <s v="FP Labor - Remote Services Ctr"/>
    <s v="Labor"/>
    <s v="CO-C"/>
    <d v="2026-04-23T00:00:00"/>
    <x v="16"/>
    <x v="22"/>
    <s v="Employee"/>
    <s v="6"/>
    <s v="ORCL IN OSSI"/>
    <s v="504526 - 96V:GSC-DB &amp; Options"/>
    <s v="09B2"/>
    <s v="Y"/>
    <s v="Y"/>
    <s v="Unrecognized"/>
    <n v="8"/>
    <s v="AED"/>
    <n v="109.99"/>
    <n v="754.44"/>
    <n v="879.9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6896"/>
    <s v="1531941507:1"/>
    <s v="1.04.00"/>
    <s v="FP Labor - Remote Services Ctr"/>
    <s v="Labor"/>
    <s v="CO-C"/>
    <d v="2026-04-23T00:00:00"/>
    <x v="16"/>
    <x v="23"/>
    <s v="Employee"/>
    <s v="5"/>
    <s v="ORCL IN OSSI"/>
    <s v="504526 - 96V:GSC-DB &amp; Options"/>
    <s v="09B1"/>
    <s v="Y"/>
    <s v="Y"/>
    <s v="Unrecognized"/>
    <n v="8"/>
    <s v="AED"/>
    <n v="68.45"/>
    <n v="660.13"/>
    <n v="547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8881"/>
    <s v="1532006479:1"/>
    <s v="1.04.00"/>
    <s v="FP Labor - Remote Services Ctr"/>
    <s v="Labor"/>
    <s v="CO-C"/>
    <d v="2026-04-23T00:00:00"/>
    <x v="16"/>
    <x v="31"/>
    <s v="Employee"/>
    <s v="6"/>
    <s v="ORCL IN OSSI"/>
    <s v="504506 - 94V:GSC-eStudio"/>
    <s v="09B2"/>
    <s v="Y"/>
    <s v="Y"/>
    <s v="Unrecognized"/>
    <n v="8"/>
    <s v="AED"/>
    <n v="109.99"/>
    <n v="754.44"/>
    <n v="879.9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892949"/>
    <s v="3029639033822671"/>
    <s v="1.04.00"/>
    <s v="FP Labor - Remote Services Ctr"/>
    <s v="Labor"/>
    <s v="CO-C"/>
    <d v="2026-04-23T00:00:00"/>
    <x v="16"/>
    <x v="24"/>
    <s v="Billable Contractor"/>
    <m/>
    <s v="ORCL IN OSSI"/>
    <s v="504526 - 96V:GSC-DB &amp; Options"/>
    <s v="009B"/>
    <s v="Y"/>
    <s v="Y"/>
    <s v="Unrecognized"/>
    <n v="8"/>
    <s v="AED"/>
    <n v="109.99"/>
    <n v="754.44"/>
    <n v="879.9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7688"/>
    <s v="1532650054:1"/>
    <s v="1.04.00"/>
    <s v="FP Labor - Remote Services Ctr"/>
    <s v="Labor"/>
    <s v="CO-C"/>
    <d v="2026-04-23T00:00:00"/>
    <x v="16"/>
    <x v="25"/>
    <s v="Employee"/>
    <s v="7"/>
    <s v="ORCL IN OSSI"/>
    <s v="504506 - 94V:GSC-eStudio"/>
    <s v="009B"/>
    <s v="Y"/>
    <s v="Y"/>
    <s v="Unrecognized"/>
    <n v="8"/>
    <s v="AED"/>
    <n v="109.99"/>
    <n v="813.38"/>
    <n v="879.9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8909053"/>
    <s v="1532832171:1"/>
    <s v="1.04.00"/>
    <s v="FP Labor - Remote Services Ctr"/>
    <s v="Labor"/>
    <s v="CO-C"/>
    <d v="2026-04-23T00:00:00"/>
    <x v="16"/>
    <x v="32"/>
    <s v="Employee"/>
    <s v="5"/>
    <s v="ORCL IN OSSI"/>
    <s v="504546 - 98V:GSC-PaaS"/>
    <s v="09B2"/>
    <s v="Y"/>
    <s v="Y"/>
    <s v="Unrecognized"/>
    <n v="8"/>
    <s v="AED"/>
    <n v="68.45"/>
    <n v="660.13"/>
    <n v="547.62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0593"/>
    <s v="1532559743:1"/>
    <s v="1.04.00"/>
    <s v="FP Labor - Remote Services Ctr"/>
    <s v="Labor"/>
    <s v="CO-C"/>
    <d v="2026-04-24T00:00:00"/>
    <x v="16"/>
    <x v="27"/>
    <s v="Employee"/>
    <s v="6"/>
    <s v="ORCL IN OSSI"/>
    <s v="504526 - 96V:GSC-DB &amp; Options"/>
    <s v="09B4"/>
    <s v="Y"/>
    <s v="Y"/>
    <s v="Unrecognized"/>
    <n v="8"/>
    <s v="AED"/>
    <n v="109.63"/>
    <n v="754.44"/>
    <n v="877.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3305"/>
    <s v="1530777637:1"/>
    <s v="1.04.00"/>
    <s v="FP Labor - Remote Services Ctr"/>
    <s v="Labor"/>
    <s v="CO-C"/>
    <d v="2026-04-24T00:00:00"/>
    <x v="16"/>
    <x v="16"/>
    <s v="Employee"/>
    <s v="5"/>
    <s v="ORCL IN OSSI"/>
    <s v="504526 - 96V:GSC-DB &amp; Options"/>
    <s v="09B1"/>
    <s v="Y"/>
    <s v="Y"/>
    <s v="Unrecognized"/>
    <n v="8"/>
    <s v="AED"/>
    <n v="68.23"/>
    <n v="660.13"/>
    <n v="545.79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4035"/>
    <s v="1531996551:1"/>
    <s v="1.04.00"/>
    <s v="FP Labor - Remote Services Ctr"/>
    <s v="Labor"/>
    <s v="CO-C"/>
    <d v="2026-04-24T00:00:00"/>
    <x v="16"/>
    <x v="17"/>
    <s v="Employee"/>
    <s v="5"/>
    <s v="ORCL IN OSSI"/>
    <s v="504526 - 96V:GSC-DB &amp; Options"/>
    <s v="09B3"/>
    <s v="Y"/>
    <s v="Y"/>
    <s v="Unrecognized"/>
    <n v="8"/>
    <s v="AED"/>
    <n v="68.23"/>
    <n v="660.13"/>
    <n v="545.79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7691"/>
    <s v="1532977341:1"/>
    <s v="1.04.00"/>
    <s v="FP Labor - Remote Services Ctr"/>
    <s v="Labor"/>
    <s v="CO-C"/>
    <d v="2026-04-24T00:00:00"/>
    <x v="16"/>
    <x v="18"/>
    <s v="Employee"/>
    <s v="5"/>
    <s v="ORCL IN OSSI"/>
    <s v="504526 - 96V:GSC-DB &amp; Options"/>
    <s v="09B1"/>
    <s v="Y"/>
    <s v="Y"/>
    <s v="Unrecognized"/>
    <n v="8"/>
    <s v="AED"/>
    <n v="68.23"/>
    <n v="660.13"/>
    <n v="545.79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2154"/>
    <s v="1532035579:1"/>
    <s v="1.04.00"/>
    <s v="FP Labor - Remote Services Ctr"/>
    <s v="Labor"/>
    <s v="CO-C"/>
    <d v="2026-04-24T00:00:00"/>
    <x v="16"/>
    <x v="19"/>
    <s v="Employee"/>
    <s v="4"/>
    <s v="ORCL IN OSSI"/>
    <s v="504526 - 96V:GSC-DB &amp; Options"/>
    <s v="09B4"/>
    <s v="Y"/>
    <s v="Y"/>
    <s v="Unrecognized"/>
    <n v="8"/>
    <s v="AED"/>
    <n v="68.23"/>
    <n v="542.25"/>
    <n v="545.79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18681"/>
    <s v="1532007227:1"/>
    <s v="1.04.00"/>
    <s v="FP Labor - Remote Services Ctr"/>
    <s v="Labor"/>
    <s v="CO-C"/>
    <d v="2026-04-24T00:00:00"/>
    <x v="16"/>
    <x v="20"/>
    <s v="Employee"/>
    <s v="4"/>
    <s v="ORCL IN OSSI"/>
    <s v="504506 - 94V:GSC-eStudio"/>
    <s v="09B4"/>
    <s v="Y"/>
    <s v="Y"/>
    <s v="Unrecognized"/>
    <n v="8"/>
    <s v="AED"/>
    <n v="68.23"/>
    <n v="542.25"/>
    <n v="545.7999999999999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19659"/>
    <s v="1532785838:1"/>
    <s v="1.04.00"/>
    <s v="FP Labor - Remote Services Ctr"/>
    <s v="Labor"/>
    <s v="CO-C"/>
    <d v="2026-04-24T00:00:00"/>
    <x v="16"/>
    <x v="29"/>
    <s v="Employee"/>
    <s v="6"/>
    <s v="ORCL IN OSSI"/>
    <s v="504506 - 94V:GSC-eStudio"/>
    <s v="09B2"/>
    <s v="Y"/>
    <s v="Y"/>
    <s v="Unrecognized"/>
    <n v="8"/>
    <s v="AED"/>
    <n v="109.63"/>
    <n v="754.44"/>
    <n v="877.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18908"/>
    <s v="1532820035:1"/>
    <s v="1.04.00"/>
    <s v="FP Labor - Remote Services Ctr"/>
    <s v="Labor"/>
    <s v="CO-C"/>
    <d v="2026-04-24T00:00:00"/>
    <x v="16"/>
    <x v="22"/>
    <s v="Employee"/>
    <s v="6"/>
    <s v="ORCL IN OSSI"/>
    <s v="504526 - 96V:GSC-DB &amp; Options"/>
    <s v="09B2"/>
    <s v="Y"/>
    <s v="Y"/>
    <s v="Unrecognized"/>
    <n v="8"/>
    <s v="AED"/>
    <n v="109.63"/>
    <n v="754.44"/>
    <n v="877.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19083"/>
    <s v="1531941508:1"/>
    <s v="1.04.00"/>
    <s v="FP Labor - Remote Services Ctr"/>
    <s v="Labor"/>
    <s v="CO-C"/>
    <d v="2026-04-24T00:00:00"/>
    <x v="16"/>
    <x v="23"/>
    <s v="Employee"/>
    <s v="5"/>
    <s v="ORCL IN OSSI"/>
    <s v="504526 - 96V:GSC-DB &amp; Options"/>
    <s v="09B1"/>
    <s v="Y"/>
    <s v="Y"/>
    <s v="Unrecognized"/>
    <n v="8"/>
    <s v="AED"/>
    <n v="68.23"/>
    <n v="660.13"/>
    <n v="545.7999999999999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2955"/>
    <s v="1532006480:1"/>
    <s v="1.04.00"/>
    <s v="FP Labor - Remote Services Ctr"/>
    <s v="Labor"/>
    <s v="CO-C"/>
    <d v="2026-04-24T00:00:00"/>
    <x v="16"/>
    <x v="31"/>
    <s v="Employee"/>
    <s v="6"/>
    <s v="ORCL IN OSSI"/>
    <s v="504506 - 94V:GSC-eStudio"/>
    <s v="09B2"/>
    <s v="Y"/>
    <s v="Y"/>
    <s v="Unrecognized"/>
    <n v="8"/>
    <s v="AED"/>
    <n v="109.63"/>
    <n v="754.44"/>
    <n v="877.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06225"/>
    <s v="3029639033822691"/>
    <s v="1.04.00"/>
    <s v="FP Labor - Remote Services Ctr"/>
    <s v="Labor"/>
    <s v="CO-C"/>
    <d v="2026-04-24T00:00:00"/>
    <x v="16"/>
    <x v="24"/>
    <s v="Billable Contractor"/>
    <m/>
    <s v="ORCL IN OSSI"/>
    <s v="504526 - 96V:GSC-DB &amp; Options"/>
    <s v="009B"/>
    <s v="Y"/>
    <s v="Y"/>
    <s v="Unrecognized"/>
    <n v="8"/>
    <s v="AED"/>
    <n v="109.63"/>
    <n v="754.44"/>
    <n v="877.0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020695"/>
    <s v="1532650055:1"/>
    <s v="1.04.00"/>
    <s v="FP Labor - Remote Services Ctr"/>
    <s v="Labor"/>
    <s v="CO-C"/>
    <d v="2026-04-24T00:00:00"/>
    <x v="16"/>
    <x v="25"/>
    <s v="Employee"/>
    <s v="7"/>
    <s v="ORCL IN OSSI"/>
    <s v="504506 - 94V:GSC-eStudio"/>
    <s v="009B"/>
    <s v="Y"/>
    <s v="Y"/>
    <s v="Unrecognized"/>
    <n v="8"/>
    <s v="AED"/>
    <n v="109.63"/>
    <n v="813.38"/>
    <n v="877.02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31"/>
    <s v="3029649580979981"/>
    <s v="1.04.00"/>
    <s v="FP Labor - Remote Services Ctr"/>
    <s v="Labor"/>
    <s v="CO-C"/>
    <d v="2026-04-25T00:00:00"/>
    <x v="17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495"/>
    <s v="3029640531872572"/>
    <s v="1.04.00"/>
    <s v="FP Labor - Remote Services Ctr"/>
    <s v="Labor"/>
    <s v="CO-C"/>
    <d v="2026-04-25T00:00:00"/>
    <x v="17"/>
    <x v="2"/>
    <s v="Billable Contractor"/>
    <m/>
    <s v="ORCL EG"/>
    <s v="509485 - 73M: EMEA Business Analytics - PaaS"/>
    <s v="008U"/>
    <s v="Y"/>
    <s v="Y"/>
    <s v="Unrecognized"/>
    <n v="7"/>
    <s v="AED"/>
    <n v="53.68"/>
    <n v="542.25"/>
    <n v="375.79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30"/>
    <s v="3029649580980001"/>
    <s v="1.04.00"/>
    <s v="FP Labor - Remote Services Ctr"/>
    <s v="Labor"/>
    <s v="CO-C"/>
    <d v="2026-04-26T00:00:00"/>
    <x v="17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500"/>
    <s v="3029640531872592"/>
    <s v="1.04.00"/>
    <s v="FP Labor - Remote Services Ctr"/>
    <s v="Labor"/>
    <s v="CO-C"/>
    <d v="2026-04-26T00:00:00"/>
    <x v="17"/>
    <x v="2"/>
    <s v="Billable Contractor"/>
    <m/>
    <s v="ORCL EG"/>
    <s v="509485 - 73M: EMEA Business Analytics - PaaS"/>
    <s v="008U"/>
    <s v="Y"/>
    <s v="Y"/>
    <s v="Unrecognized"/>
    <n v="7"/>
    <s v="AED"/>
    <n v="53.68"/>
    <n v="542.25"/>
    <n v="375.79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28"/>
    <s v="3029649832972681"/>
    <s v="1.04.00"/>
    <s v="FP Labor - Remote Services Ctr"/>
    <s v="Labor"/>
    <s v="CO-C"/>
    <d v="2026-04-27T00:00:00"/>
    <x v="17"/>
    <x v="34"/>
    <s v="Billable Contractor"/>
    <m/>
    <s v="ORCL AE"/>
    <s v="501325 - 4CF - EMEA Tech Delivery -Exadata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75049"/>
    <s v="1532559916:1"/>
    <s v="1.04.00"/>
    <s v="FP Labor - Remote Services Ctr"/>
    <s v="Labor"/>
    <s v="CO-C"/>
    <d v="2026-04-27T00:00:00"/>
    <x v="17"/>
    <x v="27"/>
    <s v="Employee"/>
    <s v="6"/>
    <s v="ORCL IN OSSI"/>
    <s v="504526 - 96V:GSC-DB &amp; Options"/>
    <s v="09B4"/>
    <s v="Y"/>
    <s v="Y"/>
    <s v="Unrecognized"/>
    <n v="8"/>
    <s v="AED"/>
    <n v="109.46"/>
    <n v="754.44"/>
    <n v="875.6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8143"/>
    <s v="1530777650:1"/>
    <s v="1.04.00"/>
    <s v="FP Labor - Remote Services Ctr"/>
    <s v="Labor"/>
    <s v="CO-C"/>
    <d v="2026-04-27T00:00:00"/>
    <x v="17"/>
    <x v="16"/>
    <s v="Employee"/>
    <s v="5"/>
    <s v="ORCL IN OSSI"/>
    <s v="504526 - 96V:GSC-DB &amp; Options"/>
    <s v="09B1"/>
    <s v="Y"/>
    <s v="Y"/>
    <s v="Unrecognized"/>
    <n v="8"/>
    <s v="AED"/>
    <n v="68.12"/>
    <n v="660.13"/>
    <n v="544.9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7840"/>
    <s v="1531996564:1"/>
    <s v="1.04.00"/>
    <s v="FP Labor - Remote Services Ctr"/>
    <s v="Labor"/>
    <s v="CO-C"/>
    <d v="2026-04-27T00:00:00"/>
    <x v="17"/>
    <x v="17"/>
    <s v="Employee"/>
    <s v="5"/>
    <s v="ORCL IN OSSI"/>
    <s v="504526 - 96V:GSC-DB &amp; Options"/>
    <s v="09B3"/>
    <s v="Y"/>
    <s v="Y"/>
    <s v="Unrecognized"/>
    <n v="8"/>
    <s v="AED"/>
    <n v="68.12"/>
    <n v="660.13"/>
    <n v="544.9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0704"/>
    <s v="1532977373:1"/>
    <s v="1.04.00"/>
    <s v="FP Labor - Remote Services Ctr"/>
    <s v="Labor"/>
    <s v="CO-C"/>
    <d v="2026-04-27T00:00:00"/>
    <x v="17"/>
    <x v="18"/>
    <s v="Employee"/>
    <s v="5"/>
    <s v="ORCL IN OSSI"/>
    <s v="504526 - 96V:GSC-DB &amp; Options"/>
    <s v="09B1"/>
    <s v="Y"/>
    <s v="Y"/>
    <s v="Unrecognized"/>
    <n v="8"/>
    <s v="AED"/>
    <n v="68.12"/>
    <n v="660.13"/>
    <n v="544.9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25151"/>
    <s v="1532035613:1"/>
    <s v="1.04.00"/>
    <s v="FP Labor - Remote Services Ctr"/>
    <s v="Labor"/>
    <s v="CO-C"/>
    <d v="2026-04-27T00:00:00"/>
    <x v="17"/>
    <x v="19"/>
    <s v="Employee"/>
    <s v="4"/>
    <s v="ORCL IN OSSI"/>
    <s v="504526 - 96V:GSC-DB &amp; Options"/>
    <s v="09B4"/>
    <s v="Y"/>
    <s v="Y"/>
    <s v="Unrecognized"/>
    <n v="8"/>
    <s v="AED"/>
    <n v="68.12"/>
    <n v="542.25"/>
    <n v="544.9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78448"/>
    <s v="1532007257:1"/>
    <s v="1.04.00"/>
    <s v="FP Labor - Remote Services Ctr"/>
    <s v="Labor"/>
    <s v="CO-C"/>
    <d v="2026-04-27T00:00:00"/>
    <x v="17"/>
    <x v="20"/>
    <s v="Employee"/>
    <s v="4"/>
    <s v="ORCL IN OSSI"/>
    <s v="504506 - 94V:GSC-eStudio"/>
    <s v="09B4"/>
    <s v="Y"/>
    <s v="Y"/>
    <s v="Unrecognized"/>
    <n v="8"/>
    <s v="AED"/>
    <n v="68.12"/>
    <n v="542.25"/>
    <n v="544.97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658"/>
    <s v="3029639066921491"/>
    <s v="1.04.00"/>
    <s v="FP Labor - Remote Services Ctr"/>
    <s v="Labor"/>
    <s v="CO-C"/>
    <d v="2026-04-27T00:00:00"/>
    <x v="17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433"/>
    <s v="3029641441008531"/>
    <s v="1.04.00"/>
    <s v="FP Labor - Remote Services Ctr"/>
    <s v="Labor"/>
    <s v="CO-C"/>
    <d v="2026-04-27T00:00:00"/>
    <x v="17"/>
    <x v="13"/>
    <s v="Employee"/>
    <s v="8"/>
    <s v="ORCL EG"/>
    <s v="502416 - 3WP-EMEA Delivery Middleware - IaaS"/>
    <s v="008U"/>
    <s v="Y"/>
    <s v="Y"/>
    <s v="Unrecognized"/>
    <n v="8"/>
    <s v="AED"/>
    <n v="96.19"/>
    <n v="943.05"/>
    <n v="769.55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42624"/>
    <s v="1532822981:1"/>
    <s v="1.04.00"/>
    <s v="FP Labor - Remote Services Ctr"/>
    <s v="Labor"/>
    <s v="CO-C"/>
    <d v="2026-04-27T00:00:00"/>
    <x v="17"/>
    <x v="22"/>
    <s v="Employee"/>
    <s v="6"/>
    <s v="ORCL IN OSSI"/>
    <s v="504526 - 96V:GSC-DB &amp; Options"/>
    <s v="09B2"/>
    <s v="Y"/>
    <s v="Y"/>
    <s v="Unrecognized"/>
    <n v="8"/>
    <s v="AED"/>
    <n v="109.46"/>
    <n v="754.44"/>
    <n v="875.6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499"/>
    <s v="3029640531872612"/>
    <s v="1.04.00"/>
    <s v="FP Labor - Remote Services Ctr"/>
    <s v="Labor"/>
    <s v="CO-C"/>
    <d v="2026-04-27T00:00:00"/>
    <x v="17"/>
    <x v="2"/>
    <s v="Billable Contractor"/>
    <m/>
    <s v="ORCL EG"/>
    <s v="509485 - 73M: EMEA Business Analytics - PaaS"/>
    <s v="008U"/>
    <s v="Y"/>
    <s v="Y"/>
    <s v="Unrecognized"/>
    <n v="7"/>
    <s v="AED"/>
    <n v="53.68"/>
    <n v="542.25"/>
    <n v="375.79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31351"/>
    <s v="1531941539:1"/>
    <s v="1.04.00"/>
    <s v="FP Labor - Remote Services Ctr"/>
    <s v="Labor"/>
    <s v="CO-C"/>
    <d v="2026-04-27T00:00:00"/>
    <x v="17"/>
    <x v="23"/>
    <s v="Employee"/>
    <s v="5"/>
    <s v="ORCL IN OSSI"/>
    <s v="504526 - 96V:GSC-DB &amp; Options"/>
    <s v="09B1"/>
    <s v="Y"/>
    <s v="Y"/>
    <s v="Unrecognized"/>
    <n v="8"/>
    <s v="AED"/>
    <n v="68.12"/>
    <n v="660.13"/>
    <n v="544.97"/>
    <n v="0"/>
    <n v="5281.02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8816"/>
    <s v="1532006524:1"/>
    <s v="1.04.00"/>
    <s v="FP Labor - Remote Services Ctr"/>
    <s v="Labor"/>
    <s v="CO-C"/>
    <d v="2026-04-27T00:00:00"/>
    <x v="17"/>
    <x v="31"/>
    <s v="Employee"/>
    <s v="6"/>
    <s v="ORCL IN OSSI"/>
    <s v="504506 - 94V:GSC-eStudio"/>
    <s v="09B2"/>
    <s v="Y"/>
    <s v="Y"/>
    <s v="Unrecognized"/>
    <n v="8"/>
    <s v="AED"/>
    <n v="109.46"/>
    <n v="754.44"/>
    <n v="875.6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29603"/>
    <s v="3029639035321501"/>
    <s v="1.04.00"/>
    <s v="FP Labor - Remote Services Ctr"/>
    <s v="Labor"/>
    <s v="CO-C"/>
    <d v="2026-04-27T00:00:00"/>
    <x v="17"/>
    <x v="24"/>
    <s v="Billable Contractor"/>
    <m/>
    <s v="ORCL IN OSSI"/>
    <s v="504526 - 96V:GSC-DB &amp; Options"/>
    <s v="009B"/>
    <s v="Y"/>
    <s v="Y"/>
    <s v="Unrecognized"/>
    <n v="8"/>
    <s v="AED"/>
    <n v="109.46"/>
    <n v="754.44"/>
    <n v="875.6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5613"/>
    <s v="1532650081:1"/>
    <s v="1.04.00"/>
    <s v="FP Labor - Remote Services Ctr"/>
    <s v="Labor"/>
    <s v="CO-C"/>
    <d v="2026-04-27T00:00:00"/>
    <x v="17"/>
    <x v="25"/>
    <s v="Employee"/>
    <s v="7"/>
    <s v="ORCL IN OSSI"/>
    <s v="504506 - 94V:GSC-eStudio"/>
    <s v="009B"/>
    <s v="Y"/>
    <s v="Y"/>
    <s v="Unrecognized"/>
    <n v="8"/>
    <s v="AED"/>
    <n v="109.46"/>
    <n v="813.38"/>
    <n v="875.68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24909"/>
    <s v="1532832201:1"/>
    <s v="1.04.00"/>
    <s v="FP Labor - Remote Services Ctr"/>
    <s v="Labor"/>
    <s v="CO-C"/>
    <d v="2026-04-27T00:00:00"/>
    <x v="17"/>
    <x v="32"/>
    <s v="Employee"/>
    <s v="5"/>
    <s v="ORCL IN OSSI"/>
    <s v="504546 - 98V:GSC-PaaS"/>
    <s v="09B2"/>
    <s v="Y"/>
    <s v="Y"/>
    <s v="Unrecognized"/>
    <n v="8"/>
    <s v="AED"/>
    <n v="68.12"/>
    <n v="660.13"/>
    <n v="544.97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30490"/>
    <s v="1532559917:1"/>
    <s v="1.04.00"/>
    <s v="FP Labor - Remote Services Ctr"/>
    <s v="Labor"/>
    <s v="CO-C"/>
    <d v="2026-04-28T00:00:00"/>
    <x v="17"/>
    <x v="27"/>
    <s v="Employee"/>
    <s v="6"/>
    <s v="ORCL IN OSSI"/>
    <s v="504526 - 96V:GSC-DB &amp; Options"/>
    <s v="09B4"/>
    <s v="Y"/>
    <s v="Y"/>
    <s v="Unrecognized"/>
    <n v="8"/>
    <s v="AED"/>
    <n v="109.53"/>
    <n v="754.44"/>
    <n v="876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82693"/>
    <s v="1530777651:1"/>
    <s v="1.04.00"/>
    <s v="FP Labor - Remote Services Ctr"/>
    <s v="Labor"/>
    <s v="CO-C"/>
    <d v="2026-04-28T00:00:00"/>
    <x v="17"/>
    <x v="16"/>
    <s v="Employee"/>
    <s v="5"/>
    <s v="ORCL IN OSSI"/>
    <s v="504526 - 96V:GSC-DB &amp; Options"/>
    <s v="09B1"/>
    <s v="Y"/>
    <s v="Y"/>
    <s v="Unrecognized"/>
    <n v="8"/>
    <s v="AED"/>
    <n v="68.17"/>
    <n v="660.13"/>
    <n v="545.32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82100"/>
    <s v="1531996565:1"/>
    <s v="1.04.00"/>
    <s v="FP Labor - Remote Services Ctr"/>
    <s v="Labor"/>
    <s v="CO-C"/>
    <d v="2026-04-28T00:00:00"/>
    <x v="17"/>
    <x v="17"/>
    <s v="Employee"/>
    <s v="5"/>
    <s v="ORCL IN OSSI"/>
    <s v="504526 - 96V:GSC-DB &amp; Options"/>
    <s v="09B3"/>
    <s v="Y"/>
    <s v="Y"/>
    <s v="Unrecognized"/>
    <n v="8"/>
    <s v="AED"/>
    <n v="68.17"/>
    <n v="660.13"/>
    <n v="545.32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2311"/>
    <s v="1532977374:1"/>
    <s v="1.04.00"/>
    <s v="FP Labor - Remote Services Ctr"/>
    <s v="Labor"/>
    <s v="CO-C"/>
    <d v="2026-04-28T00:00:00"/>
    <x v="17"/>
    <x v="18"/>
    <s v="Employee"/>
    <s v="5"/>
    <s v="ORCL IN OSSI"/>
    <s v="504526 - 96V:GSC-DB &amp; Options"/>
    <s v="09B1"/>
    <s v="Y"/>
    <s v="Y"/>
    <s v="Unrecognized"/>
    <n v="8"/>
    <s v="AED"/>
    <n v="68.17"/>
    <n v="660.13"/>
    <n v="545.32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44920"/>
    <s v="1532035614:1"/>
    <s v="1.04.00"/>
    <s v="FP Labor - Remote Services Ctr"/>
    <s v="Labor"/>
    <s v="CO-C"/>
    <d v="2026-04-28T00:00:00"/>
    <x v="17"/>
    <x v="19"/>
    <s v="Employee"/>
    <s v="4"/>
    <s v="ORCL IN OSSI"/>
    <s v="504526 - 96V:GSC-DB &amp; Options"/>
    <s v="09B4"/>
    <s v="Y"/>
    <s v="Y"/>
    <s v="Unrecognized"/>
    <n v="8"/>
    <s v="AED"/>
    <n v="68.17"/>
    <n v="542.25"/>
    <n v="545.32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84633"/>
    <s v="1532007258:1"/>
    <s v="1.04.00"/>
    <s v="FP Labor - Remote Services Ctr"/>
    <s v="Labor"/>
    <s v="CO-C"/>
    <d v="2026-04-28T00:00:00"/>
    <x v="17"/>
    <x v="20"/>
    <s v="Employee"/>
    <s v="4"/>
    <s v="ORCL IN OSSI"/>
    <s v="504506 - 94V:GSC-eStudio"/>
    <s v="09B4"/>
    <s v="Y"/>
    <s v="Y"/>
    <s v="Unrecognized"/>
    <n v="8"/>
    <s v="AED"/>
    <n v="68.17"/>
    <n v="542.25"/>
    <n v="545.32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592"/>
    <s v="3029639066921521"/>
    <s v="1.04.00"/>
    <s v="FP Labor - Remote Services Ctr"/>
    <s v="Labor"/>
    <s v="CO-C"/>
    <d v="2026-04-28T00:00:00"/>
    <x v="17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2682"/>
    <s v="3029652175220461"/>
    <s v="1.04.00"/>
    <s v="FP Labor - Remote Services Ctr"/>
    <s v="Labor"/>
    <s v="CO-C"/>
    <d v="2026-04-28T00:00:00"/>
    <x v="17"/>
    <x v="13"/>
    <s v="Employee"/>
    <s v="8"/>
    <s v="ORCL EG"/>
    <s v="502416 - 3WP-EMEA Delivery Middleware - IaaS"/>
    <s v="008U"/>
    <s v="Y"/>
    <s v="Y"/>
    <s v="Unrecognized"/>
    <n v="8"/>
    <s v="AED"/>
    <n v="96.32"/>
    <n v="943.05"/>
    <n v="770.57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40054"/>
    <s v="1532822982:1"/>
    <s v="1.04.00"/>
    <s v="FP Labor - Remote Services Ctr"/>
    <s v="Labor"/>
    <s v="CO-C"/>
    <d v="2026-04-28T00:00:00"/>
    <x v="17"/>
    <x v="22"/>
    <s v="Employee"/>
    <s v="6"/>
    <s v="ORCL IN OSSI"/>
    <s v="504526 - 96V:GSC-DB &amp; Options"/>
    <s v="09B2"/>
    <s v="Y"/>
    <s v="Y"/>
    <s v="Unrecognized"/>
    <n v="8"/>
    <s v="AED"/>
    <n v="109.53"/>
    <n v="754.44"/>
    <n v="876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498"/>
    <s v="3029640531872632"/>
    <s v="1.04.00"/>
    <s v="FP Labor - Remote Services Ctr"/>
    <s v="Labor"/>
    <s v="CO-C"/>
    <d v="2026-04-28T00:00:00"/>
    <x v="17"/>
    <x v="2"/>
    <s v="Billable Contractor"/>
    <m/>
    <s v="ORCL EG"/>
    <s v="509485 - 73M: EMEA Business Analytics - PaaS"/>
    <s v="008U"/>
    <s v="Y"/>
    <s v="Y"/>
    <s v="Unrecognized"/>
    <n v="7"/>
    <s v="AED"/>
    <n v="53.76"/>
    <n v="542.25"/>
    <n v="376.29"/>
    <n v="0"/>
    <n v="3795.7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82364"/>
    <s v="1531941540:1"/>
    <s v="1.04.00"/>
    <s v="FP Labor - Remote Services Ctr"/>
    <s v="Labor"/>
    <s v="CO-C"/>
    <d v="2026-04-28T00:00:00"/>
    <x v="17"/>
    <x v="23"/>
    <s v="Employee"/>
    <s v="5"/>
    <s v="ORCL IN OSSI"/>
    <s v="504526 - 96V:GSC-DB &amp; Options"/>
    <s v="09B1"/>
    <s v="Y"/>
    <s v="Y"/>
    <s v="Unrecognized"/>
    <n v="8"/>
    <s v="AED"/>
    <n v="68.17"/>
    <n v="660.13"/>
    <n v="545.32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39999"/>
    <s v="1532006525:1"/>
    <s v="1.04.00"/>
    <s v="FP Labor - Remote Services Ctr"/>
    <s v="Labor"/>
    <s v="CO-C"/>
    <d v="2026-04-28T00:00:00"/>
    <x v="17"/>
    <x v="31"/>
    <s v="Employee"/>
    <s v="6"/>
    <s v="ORCL IN OSSI"/>
    <s v="504506 - 94V:GSC-eStudio"/>
    <s v="09B2"/>
    <s v="Y"/>
    <s v="Y"/>
    <s v="Unrecognized"/>
    <n v="8"/>
    <s v="AED"/>
    <n v="109.53"/>
    <n v="754.44"/>
    <n v="876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29602"/>
    <s v="3029639035321521"/>
    <s v="1.04.00"/>
    <s v="FP Labor - Remote Services Ctr"/>
    <s v="Labor"/>
    <s v="CO-C"/>
    <d v="2026-04-28T00:00:00"/>
    <x v="17"/>
    <x v="24"/>
    <s v="Billable Contractor"/>
    <m/>
    <s v="ORCL IN OSSI"/>
    <s v="504526 - 96V:GSC-DB &amp; Options"/>
    <s v="009B"/>
    <s v="Y"/>
    <s v="Y"/>
    <s v="Unrecognized"/>
    <n v="8"/>
    <s v="AED"/>
    <n v="109.53"/>
    <n v="754.44"/>
    <n v="876.2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5614"/>
    <s v="1532650082:1"/>
    <s v="1.04.00"/>
    <s v="FP Labor - Remote Services Ctr"/>
    <s v="Labor"/>
    <s v="CO-C"/>
    <d v="2026-04-28T00:00:00"/>
    <x v="17"/>
    <x v="25"/>
    <s v="Employee"/>
    <s v="7"/>
    <s v="ORCL IN OSSI"/>
    <s v="504506 - 94V:GSC-eStudio"/>
    <s v="009B"/>
    <s v="Y"/>
    <s v="Y"/>
    <s v="Unrecognized"/>
    <n v="8"/>
    <s v="AED"/>
    <n v="109.53"/>
    <n v="813.38"/>
    <n v="876.24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9037"/>
    <s v="1532832198:1"/>
    <s v="1.04.00"/>
    <s v="FP Labor - Remote Services Ctr"/>
    <s v="Labor"/>
    <s v="CO-C"/>
    <d v="2026-04-28T00:00:00"/>
    <x v="17"/>
    <x v="32"/>
    <s v="Employee"/>
    <s v="5"/>
    <s v="ORCL IN OSSI"/>
    <s v="504546 - 98V:GSC-PaaS"/>
    <s v="09B2"/>
    <s v="Y"/>
    <s v="Y"/>
    <s v="Unrecognized"/>
    <n v="8"/>
    <s v="AED"/>
    <n v="68.17"/>
    <n v="660.13"/>
    <n v="545.32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00218"/>
    <s v="1532559918:1"/>
    <s v="1.04.00"/>
    <s v="FP Labor - Remote Services Ctr"/>
    <s v="Labor"/>
    <s v="CO-C"/>
    <d v="2026-04-29T00:00:00"/>
    <x v="17"/>
    <x v="27"/>
    <s v="Employee"/>
    <s v="6"/>
    <s v="ORCL IN OSSI"/>
    <s v="504526 - 96V:GSC-DB &amp; Options"/>
    <s v="09B4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25102"/>
    <s v="1530777652:1"/>
    <s v="1.04.00"/>
    <s v="FP Labor - Remote Services Ctr"/>
    <s v="Labor"/>
    <s v="CO-C"/>
    <d v="2026-04-29T00:00:00"/>
    <x v="17"/>
    <x v="16"/>
    <s v="Employee"/>
    <s v="5"/>
    <s v="ORCL IN OSSI"/>
    <s v="504526 - 96V:GSC-DB &amp; Option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37110"/>
    <s v="1531996566:1"/>
    <s v="1.04.00"/>
    <s v="FP Labor - Remote Services Ctr"/>
    <s v="Labor"/>
    <s v="CO-C"/>
    <d v="2026-04-29T00:00:00"/>
    <x v="17"/>
    <x v="17"/>
    <s v="Employee"/>
    <s v="5"/>
    <s v="ORCL IN OSSI"/>
    <s v="504526 - 96V:GSC-DB &amp; Options"/>
    <s v="09B3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45783"/>
    <s v="1532977375:1"/>
    <s v="1.04.00"/>
    <s v="FP Labor - Remote Services Ctr"/>
    <s v="Labor"/>
    <s v="CO-C"/>
    <d v="2026-04-29T00:00:00"/>
    <x v="17"/>
    <x v="18"/>
    <s v="Employee"/>
    <s v="5"/>
    <s v="ORCL IN OSSI"/>
    <s v="504526 - 96V:GSC-DB &amp; Option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75544"/>
    <s v="1532035615:1"/>
    <s v="1.04.00"/>
    <s v="FP Labor - Remote Services Ctr"/>
    <s v="Labor"/>
    <s v="CO-C"/>
    <d v="2026-04-29T00:00:00"/>
    <x v="17"/>
    <x v="19"/>
    <s v="Employee"/>
    <s v="4"/>
    <s v="ORCL IN OSSI"/>
    <s v="504526 - 96V:GSC-DB &amp; Options"/>
    <s v="09B4"/>
    <s v="Y"/>
    <s v="Y"/>
    <s v="Unrecognized"/>
    <n v="8"/>
    <s v="AED"/>
    <n v="67.94"/>
    <n v="542.25"/>
    <n v="543.5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39018"/>
    <s v="1532007259:1"/>
    <s v="1.04.00"/>
    <s v="FP Labor - Remote Services Ctr"/>
    <s v="Labor"/>
    <s v="CO-C"/>
    <d v="2026-04-29T00:00:00"/>
    <x v="17"/>
    <x v="20"/>
    <s v="Employee"/>
    <s v="4"/>
    <s v="ORCL IN OSSI"/>
    <s v="504506 - 94V:GSC-eStudio"/>
    <s v="09B4"/>
    <s v="Y"/>
    <s v="Y"/>
    <s v="Unrecognized"/>
    <n v="8"/>
    <s v="AED"/>
    <n v="67.94"/>
    <n v="542.25"/>
    <n v="543.5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1827"/>
    <s v="1532785923:3"/>
    <s v="1.04.00"/>
    <s v="FP Labor - Remote Services Ctr"/>
    <s v="Labor"/>
    <s v="CO-C"/>
    <d v="2026-04-29T00:00:00"/>
    <x v="17"/>
    <x v="29"/>
    <s v="Employee"/>
    <s v="6"/>
    <s v="ORCL IN OSSI"/>
    <s v="504506 - 94V:GSC-eStudio"/>
    <s v="09B2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485"/>
    <s v="3029639066921551"/>
    <s v="1.04.00"/>
    <s v="FP Labor - Remote Services Ctr"/>
    <s v="Labor"/>
    <s v="CO-C"/>
    <d v="2026-04-29T00:00:00"/>
    <x v="17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89106"/>
    <s v="1532822983:1"/>
    <s v="1.04.00"/>
    <s v="FP Labor - Remote Services Ctr"/>
    <s v="Labor"/>
    <s v="CO-C"/>
    <d v="2026-04-29T00:00:00"/>
    <x v="17"/>
    <x v="22"/>
    <s v="Employee"/>
    <s v="6"/>
    <s v="ORCL IN OSSI"/>
    <s v="504526 - 96V:GSC-DB &amp; Options"/>
    <s v="09B2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11243"/>
    <s v="1531941541:1"/>
    <s v="1.04.00"/>
    <s v="FP Labor - Remote Services Ctr"/>
    <s v="Labor"/>
    <s v="CO-C"/>
    <d v="2026-04-29T00:00:00"/>
    <x v="17"/>
    <x v="23"/>
    <s v="Employee"/>
    <s v="5"/>
    <s v="ORCL IN OSSI"/>
    <s v="504526 - 96V:GSC-DB &amp; Option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5730"/>
    <s v="1532006526:1"/>
    <s v="1.04.00"/>
    <s v="FP Labor - Remote Services Ctr"/>
    <s v="Labor"/>
    <s v="CO-C"/>
    <d v="2026-04-29T00:00:00"/>
    <x v="17"/>
    <x v="31"/>
    <s v="Employee"/>
    <s v="6"/>
    <s v="ORCL IN OSSI"/>
    <s v="504506 - 94V:GSC-eStudio"/>
    <s v="09B2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29601"/>
    <s v="3029639035321541"/>
    <s v="1.04.00"/>
    <s v="FP Labor - Remote Services Ctr"/>
    <s v="Labor"/>
    <s v="CO-C"/>
    <d v="2026-04-29T00:00:00"/>
    <x v="17"/>
    <x v="24"/>
    <s v="Billable Contractor"/>
    <m/>
    <s v="ORCL IN OSSI"/>
    <s v="504526 - 96V:GSC-DB &amp; Options"/>
    <s v="009B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1276"/>
    <s v="1532650083:1"/>
    <s v="1.04.00"/>
    <s v="FP Labor - Remote Services Ctr"/>
    <s v="Labor"/>
    <s v="CO-C"/>
    <d v="2026-04-29T00:00:00"/>
    <x v="17"/>
    <x v="25"/>
    <s v="Employee"/>
    <s v="7"/>
    <s v="ORCL IN OSSI"/>
    <s v="504506 - 94V:GSC-eStudio"/>
    <s v="009B"/>
    <s v="Y"/>
    <s v="Y"/>
    <s v="Unrecognized"/>
    <n v="8"/>
    <s v="AED"/>
    <n v="109.17"/>
    <n v="813.38"/>
    <n v="873.3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7608"/>
    <s v="1532832199:1"/>
    <s v="1.04.00"/>
    <s v="FP Labor - Remote Services Ctr"/>
    <s v="Labor"/>
    <s v="CO-C"/>
    <d v="2026-04-29T00:00:00"/>
    <x v="17"/>
    <x v="32"/>
    <s v="Employee"/>
    <s v="5"/>
    <s v="ORCL IN OSSI"/>
    <s v="504546 - 98V:GSC-PaaS"/>
    <s v="09B2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22"/>
    <s v="3029649829986141"/>
    <s v="1.04.00"/>
    <s v="FP Labor - Remote Services Ctr"/>
    <s v="Labor"/>
    <s v="CO-C"/>
    <d v="2026-04-30T00:00:00"/>
    <x v="17"/>
    <x v="34"/>
    <s v="Billable Contractor"/>
    <m/>
    <s v="ORCL AE"/>
    <s v="501325 - 4CF - EMEA Tech Delivery -Exadata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82590"/>
    <s v="1532559919:1"/>
    <s v="1.04.00"/>
    <s v="FP Labor - Remote Services Ctr"/>
    <s v="Labor"/>
    <s v="CO-C"/>
    <d v="2026-04-30T00:00:00"/>
    <x v="17"/>
    <x v="27"/>
    <s v="Employee"/>
    <s v="6"/>
    <s v="ORCL IN OSSI"/>
    <s v="504526 - 96V:GSC-DB &amp; Options"/>
    <s v="09B4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45046"/>
    <s v="1530777653:1"/>
    <s v="1.04.00"/>
    <s v="FP Labor - Remote Services Ctr"/>
    <s v="Labor"/>
    <s v="CO-C"/>
    <d v="2026-04-30T00:00:00"/>
    <x v="17"/>
    <x v="16"/>
    <s v="Employee"/>
    <s v="5"/>
    <s v="ORCL IN OSSI"/>
    <s v="504526 - 96V:GSC-DB &amp; Option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45304"/>
    <s v="1531996567:1"/>
    <s v="1.04.00"/>
    <s v="FP Labor - Remote Services Ctr"/>
    <s v="Labor"/>
    <s v="CO-C"/>
    <d v="2026-04-30T00:00:00"/>
    <x v="17"/>
    <x v="17"/>
    <s v="Employee"/>
    <s v="5"/>
    <s v="ORCL IN OSSI"/>
    <s v="504526 - 96V:GSC-DB &amp; Options"/>
    <s v="09B3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36692"/>
    <s v="1532977376:1"/>
    <s v="1.04.00"/>
    <s v="FP Labor - Remote Services Ctr"/>
    <s v="Labor"/>
    <s v="CO-C"/>
    <d v="2026-04-30T00:00:00"/>
    <x v="17"/>
    <x v="18"/>
    <s v="Employee"/>
    <s v="5"/>
    <s v="ORCL IN OSSI"/>
    <s v="504526 - 96V:GSC-DB &amp; Option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2740"/>
    <s v="1532035616:1"/>
    <s v="1.04.00"/>
    <s v="FP Labor - Remote Services Ctr"/>
    <s v="Labor"/>
    <s v="CO-C"/>
    <d v="2026-04-30T00:00:00"/>
    <x v="17"/>
    <x v="19"/>
    <s v="Employee"/>
    <s v="4"/>
    <s v="ORCL IN OSSI"/>
    <s v="504526 - 96V:GSC-DB &amp; Options"/>
    <s v="09B4"/>
    <s v="Y"/>
    <s v="Y"/>
    <s v="Unrecognized"/>
    <n v="8"/>
    <s v="AED"/>
    <n v="67.94"/>
    <n v="542.25"/>
    <n v="543.5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39344"/>
    <s v="1532007260:1"/>
    <s v="1.04.00"/>
    <s v="FP Labor - Remote Services Ctr"/>
    <s v="Labor"/>
    <s v="CO-C"/>
    <d v="2026-04-30T00:00:00"/>
    <x v="17"/>
    <x v="20"/>
    <s v="Employee"/>
    <s v="4"/>
    <s v="ORCL IN OSSI"/>
    <s v="504506 - 94V:GSC-eStudio"/>
    <s v="09B4"/>
    <s v="Y"/>
    <s v="Y"/>
    <s v="Unrecognized"/>
    <n v="8"/>
    <s v="AED"/>
    <n v="67.94"/>
    <n v="542.25"/>
    <n v="543.5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0283"/>
    <s v="1532785922:3"/>
    <s v="1.04.00"/>
    <s v="FP Labor - Remote Services Ctr"/>
    <s v="Labor"/>
    <s v="CO-C"/>
    <d v="2026-04-30T00:00:00"/>
    <x v="17"/>
    <x v="29"/>
    <s v="Employee"/>
    <s v="6"/>
    <s v="ORCL IN OSSI"/>
    <s v="504506 - 94V:GSC-eStudio"/>
    <s v="09B2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15373"/>
    <s v="3029639066921581"/>
    <s v="1.04.00"/>
    <s v="FP Labor - Remote Services Ctr"/>
    <s v="Labor"/>
    <s v="CO-C"/>
    <d v="2026-04-30T00:00:00"/>
    <x v="17"/>
    <x v="12"/>
    <s v="Billable Contractor"/>
    <m/>
    <s v="ORCL EG"/>
    <s v="509335 - U3K-EMEA Tech Delivery - P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1674"/>
    <s v="1532822985:1"/>
    <s v="1.04.00"/>
    <s v="FP Labor - Remote Services Ctr"/>
    <s v="Labor"/>
    <s v="CO-C"/>
    <d v="2026-04-30T00:00:00"/>
    <x v="17"/>
    <x v="22"/>
    <s v="Employee"/>
    <s v="6"/>
    <s v="ORCL IN OSSI"/>
    <s v="504526 - 96V:GSC-DB &amp; Options"/>
    <s v="09B2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28367"/>
    <s v="1531941542:1"/>
    <s v="1.04.00"/>
    <s v="FP Labor - Remote Services Ctr"/>
    <s v="Labor"/>
    <s v="CO-C"/>
    <d v="2026-04-30T00:00:00"/>
    <x v="17"/>
    <x v="23"/>
    <s v="Employee"/>
    <s v="5"/>
    <s v="ORCL IN OSSI"/>
    <s v="504526 - 96V:GSC-DB &amp; Option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29600"/>
    <s v="3029639035321561"/>
    <s v="1.04.00"/>
    <s v="FP Labor - Remote Services Ctr"/>
    <s v="Labor"/>
    <s v="CO-C"/>
    <d v="2026-04-30T00:00:00"/>
    <x v="17"/>
    <x v="24"/>
    <s v="Billable Contractor"/>
    <m/>
    <s v="ORCL IN OSSI"/>
    <s v="504526 - 96V:GSC-DB &amp; Options"/>
    <s v="009B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17952"/>
    <s v="1532650085:1"/>
    <s v="1.04.00"/>
    <s v="FP Labor - Remote Services Ctr"/>
    <s v="Labor"/>
    <s v="CO-C"/>
    <d v="2026-04-30T00:00:00"/>
    <x v="17"/>
    <x v="25"/>
    <s v="Employee"/>
    <s v="7"/>
    <s v="ORCL IN OSSI"/>
    <s v="504506 - 94V:GSC-eStudio"/>
    <s v="009B"/>
    <s v="Y"/>
    <s v="Y"/>
    <s v="Unrecognized"/>
    <n v="8"/>
    <s v="AED"/>
    <n v="109.17"/>
    <n v="813.38"/>
    <n v="873.33"/>
    <n v="0"/>
    <n v="6507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35065"/>
    <s v="1532832200:1"/>
    <s v="1.04.00"/>
    <s v="FP Labor - Remote Services Ctr"/>
    <s v="Labor"/>
    <s v="CO-C"/>
    <d v="2026-04-30T00:00:00"/>
    <x v="17"/>
    <x v="32"/>
    <s v="Employee"/>
    <s v="5"/>
    <s v="ORCL IN OSSI"/>
    <s v="504546 - 98V:GSC-PaaS"/>
    <s v="09B2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20"/>
    <s v="3029649829986171"/>
    <s v="1.04.00"/>
    <s v="FP Labor - Remote Services Ctr"/>
    <s v="Labor"/>
    <s v="CO-C"/>
    <d v="2026-05-01T00:00:00"/>
    <x v="17"/>
    <x v="34"/>
    <s v="Billable Contractor"/>
    <m/>
    <s v="ORCL AE"/>
    <s v="501325 - 4CF - EMEA Tech Delivery -Exadata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392616"/>
    <s v="1531996568:1"/>
    <s v="1.04.00"/>
    <s v="FP Labor - Remote Services Ctr"/>
    <s v="Labor"/>
    <s v="CO-C"/>
    <d v="2026-05-01T00:00:00"/>
    <x v="17"/>
    <x v="17"/>
    <s v="Employee"/>
    <s v="5"/>
    <s v="ORCL IN OSSI"/>
    <s v="504526 - 96V:GSC-DB &amp; Options"/>
    <s v="09B3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1828"/>
    <s v="1532785921:3"/>
    <s v="1.04.00"/>
    <s v="FP Labor - Remote Services Ctr"/>
    <s v="Labor"/>
    <s v="CO-C"/>
    <d v="2026-05-01T00:00:00"/>
    <x v="17"/>
    <x v="29"/>
    <s v="Employee"/>
    <s v="6"/>
    <s v="ORCL IN OSSI"/>
    <s v="504506 - 94V:GSC-eStudio"/>
    <s v="09B2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1701"/>
    <s v="1532822986:1"/>
    <s v="1.04.00"/>
    <s v="FP Labor - Remote Services Ctr"/>
    <s v="Labor"/>
    <s v="CO-C"/>
    <d v="2026-05-01T00:00:00"/>
    <x v="17"/>
    <x v="22"/>
    <s v="Employee"/>
    <s v="6"/>
    <s v="ORCL IN OSSI"/>
    <s v="504526 - 96V:GSC-DB &amp; Options"/>
    <s v="09B2"/>
    <s v="Y"/>
    <s v="Y"/>
    <s v="Unrecognized"/>
    <n v="8"/>
    <s v="AED"/>
    <n v="109.17"/>
    <n v="754.44"/>
    <n v="873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19"/>
    <s v="3029649580555221"/>
    <s v="1.04.00"/>
    <s v="FP Labor - Remote Services Ctr"/>
    <s v="Labor"/>
    <s v="CO-C"/>
    <d v="2026-05-02T00:00:00"/>
    <x v="18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4093"/>
    <s v="1538350538:1"/>
    <s v="1.04.00"/>
    <s v="FP Labor - Remote Services Ctr"/>
    <s v="Labor"/>
    <s v="CO-C"/>
    <d v="2026-05-02T00:00:00"/>
    <x v="18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11707"/>
    <s v="3029653520541121"/>
    <s v="1.04.00"/>
    <s v="FP Labor - Remote Services Ctr"/>
    <s v="Labor"/>
    <s v="CO-C"/>
    <d v="2026-05-02T00:00:00"/>
    <x v="18"/>
    <x v="3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618"/>
    <s v="3029649580555241"/>
    <s v="1.04.00"/>
    <s v="FP Labor - Remote Services Ctr"/>
    <s v="Labor"/>
    <s v="CO-C"/>
    <d v="2026-05-03T00:00:00"/>
    <x v="18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2327"/>
    <s v="1538350537:1"/>
    <s v="1.04.00"/>
    <s v="FP Labor - Remote Services Ctr"/>
    <s v="Labor"/>
    <s v="CO-C"/>
    <d v="2026-05-03T00:00:00"/>
    <x v="18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2660"/>
    <s v="3029643512484151"/>
    <s v="1.04.00"/>
    <s v="FP Labor - Remote Services Ctr"/>
    <s v="Labor"/>
    <s v="CO-C"/>
    <d v="2026-05-03T00:00:00"/>
    <x v="18"/>
    <x v="3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3166"/>
    <s v="1531934928:2"/>
    <s v="1.04.00"/>
    <s v="FP Labor - Remote Services Ctr"/>
    <s v="Labor"/>
    <s v="CO-C"/>
    <d v="2026-05-04T00:00:00"/>
    <x v="18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59821"/>
    <s v="3029639067191202"/>
    <s v="1.04.00"/>
    <s v="FP Labor - Remote Services Ctr"/>
    <s v="Labor"/>
    <s v="CO-C"/>
    <d v="2026-05-04T00:00:00"/>
    <x v="18"/>
    <x v="12"/>
    <s v="Billable Contractor"/>
    <m/>
    <s v="ORCL EG"/>
    <s v="509335 - U3K-EMEA Tech Delivery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2659"/>
    <s v="3029643512484171"/>
    <s v="1.04.00"/>
    <s v="FP Labor - Remote Services Ctr"/>
    <s v="Labor"/>
    <s v="CO-C"/>
    <d v="2026-05-04T00:00:00"/>
    <x v="18"/>
    <x v="3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458764"/>
    <s v="3029641442497011"/>
    <s v="1.04.00"/>
    <s v="FP Labor - Remote Services Ctr"/>
    <s v="Labor"/>
    <s v="CO-C"/>
    <d v="2026-05-04T00:00:00"/>
    <x v="18"/>
    <x v="13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09597"/>
    <s v="1531941653:2"/>
    <s v="1.04.00"/>
    <s v="FP Labor - Remote Services Ctr"/>
    <s v="Labor"/>
    <s v="CO-C"/>
    <d v="2026-05-04T00:00:00"/>
    <x v="18"/>
    <x v="23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1919"/>
    <s v="1538356091:2"/>
    <s v="1.04.00"/>
    <s v="FP Labor - Remote Services Ctr"/>
    <s v="Labor"/>
    <s v="CO-C"/>
    <d v="2026-05-04T00:00:00"/>
    <x v="18"/>
    <x v="32"/>
    <s v="Employee"/>
    <s v="5"/>
    <s v="ORCL IN OSSI"/>
    <s v="504546 - 98V:GSC-PaaS"/>
    <s v="09B2"/>
    <s v="Y"/>
    <s v="Y"/>
    <s v="Unrecognized"/>
    <n v="15"/>
    <s v="AED"/>
    <n v="67.94"/>
    <n v="660.13"/>
    <n v="1019.08"/>
    <n v="0"/>
    <n v="9901.9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1444"/>
    <s v="1531934929:2"/>
    <s v="1.04.00"/>
    <s v="FP Labor - Remote Services Ctr"/>
    <s v="Labor"/>
    <s v="CO-C"/>
    <d v="2026-05-05T00:00:00"/>
    <x v="18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59800"/>
    <s v="3029639067191232"/>
    <s v="1.04.00"/>
    <s v="FP Labor - Remote Services Ctr"/>
    <s v="Labor"/>
    <s v="CO-C"/>
    <d v="2026-05-05T00:00:00"/>
    <x v="18"/>
    <x v="12"/>
    <s v="Billable Contractor"/>
    <m/>
    <s v="ORCL EG"/>
    <s v="509335 - U3K-EMEA Tech Delivery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11706"/>
    <s v="3029653520541181"/>
    <s v="1.04.00"/>
    <s v="FP Labor - Remote Services Ctr"/>
    <s v="Labor"/>
    <s v="CO-C"/>
    <d v="2026-05-05T00:00:00"/>
    <x v="18"/>
    <x v="3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2595"/>
    <s v="3029652173803141"/>
    <s v="1.04.00"/>
    <s v="FP Labor - Remote Services Ctr"/>
    <s v="Labor"/>
    <s v="CO-C"/>
    <d v="2026-05-05T00:00:00"/>
    <x v="18"/>
    <x v="13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08901"/>
    <s v="1531941654:2"/>
    <s v="1.04.00"/>
    <s v="FP Labor - Remote Services Ctr"/>
    <s v="Labor"/>
    <s v="CO-C"/>
    <d v="2026-05-05T00:00:00"/>
    <x v="18"/>
    <x v="23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4485"/>
    <s v="1535330673:3"/>
    <s v="1.04.00"/>
    <s v="FP Labor - Remote Services Ctr"/>
    <s v="Labor"/>
    <s v="CO-C"/>
    <d v="2026-05-05T00:00:00"/>
    <x v="18"/>
    <x v="32"/>
    <s v="Employee"/>
    <s v="5"/>
    <s v="ORCL IN OSSI"/>
    <s v="504546 - 98V:GSC-PaaS"/>
    <s v="09B2"/>
    <s v="Y"/>
    <s v="Y"/>
    <s v="Unrecognized"/>
    <n v="15"/>
    <s v="AED"/>
    <n v="67.94"/>
    <n v="660.13"/>
    <n v="1019.08"/>
    <n v="0"/>
    <n v="9901.9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787705"/>
    <s v="3029649580555321"/>
    <s v="1.04.00"/>
    <s v="FP Labor - Remote Services Ctr"/>
    <s v="Labor"/>
    <s v="CO-C"/>
    <d v="2026-05-06T00:00:00"/>
    <x v="18"/>
    <x v="34"/>
    <s v="Billable Contractor"/>
    <m/>
    <s v="ORCL AE"/>
    <s v="501325 - 4CF - EMEA Tech Delivery -Exadata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4833"/>
    <s v="1531934930:2"/>
    <s v="1.04.00"/>
    <s v="FP Labor - Remote Services Ctr"/>
    <s v="Labor"/>
    <s v="CO-C"/>
    <d v="2026-05-06T00:00:00"/>
    <x v="18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59802"/>
    <s v="3029639067191262"/>
    <s v="1.04.00"/>
    <s v="FP Labor - Remote Services Ctr"/>
    <s v="Labor"/>
    <s v="CO-C"/>
    <d v="2026-05-06T00:00:00"/>
    <x v="18"/>
    <x v="12"/>
    <s v="Billable Contractor"/>
    <m/>
    <s v="ORCL EG"/>
    <s v="509335 - U3K-EMEA Tech Delivery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11705"/>
    <s v="3029653520541201"/>
    <s v="1.04.00"/>
    <s v="FP Labor - Remote Services Ctr"/>
    <s v="Labor"/>
    <s v="CO-C"/>
    <d v="2026-05-06T00:00:00"/>
    <x v="18"/>
    <x v="3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11668"/>
    <s v="3029653520563321"/>
    <s v="1.04.00"/>
    <s v="FP Labor - Remote Services Ctr"/>
    <s v="Labor"/>
    <s v="CO-C"/>
    <d v="2026-05-06T00:00:00"/>
    <x v="18"/>
    <x v="13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5027"/>
    <s v="1535330674:3"/>
    <s v="1.04.00"/>
    <s v="FP Labor - Remote Services Ctr"/>
    <s v="Labor"/>
    <s v="CO-C"/>
    <d v="2026-05-06T00:00:00"/>
    <x v="18"/>
    <x v="32"/>
    <s v="Employee"/>
    <s v="5"/>
    <s v="ORCL IN OSSI"/>
    <s v="504546 - 98V:GSC-PaaS"/>
    <s v="09B2"/>
    <s v="Y"/>
    <s v="Y"/>
    <s v="Unrecognized"/>
    <n v="10"/>
    <s v="AED"/>
    <n v="67.94"/>
    <n v="660.13"/>
    <n v="679.39"/>
    <n v="0"/>
    <n v="6601.2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825501"/>
    <s v="3029649580555361"/>
    <s v="1.04.00"/>
    <s v="FP Labor - Remote Services Ctr"/>
    <s v="Labor"/>
    <s v="CO-C"/>
    <d v="2026-05-07T00:00:00"/>
    <x v="18"/>
    <x v="34"/>
    <s v="Billable Contractor"/>
    <m/>
    <s v="ORCL AE"/>
    <s v="501325 - 4CF - EMEA Tech Delivery -Exadata"/>
    <s v="0069"/>
    <s v="Y"/>
    <s v="Y"/>
    <s v="Unrecognized"/>
    <n v="4"/>
    <s v="AED"/>
    <n v="98"/>
    <n v="471.52"/>
    <n v="392"/>
    <n v="0"/>
    <n v="1886.0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1981"/>
    <s v="1531934931:2"/>
    <s v="1.04.00"/>
    <s v="FP Labor - Remote Services Ctr"/>
    <s v="Labor"/>
    <s v="CO-C"/>
    <d v="2026-05-07T00:00:00"/>
    <x v="18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59767"/>
    <s v="3029639067191292"/>
    <s v="1.04.00"/>
    <s v="FP Labor - Remote Services Ctr"/>
    <s v="Labor"/>
    <s v="CO-C"/>
    <d v="2026-05-07T00:00:00"/>
    <x v="18"/>
    <x v="12"/>
    <s v="Billable Contractor"/>
    <m/>
    <s v="ORCL EG"/>
    <s v="509335 - U3K-EMEA Tech Delivery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11704"/>
    <s v="3029653520541231"/>
    <s v="1.04.00"/>
    <s v="FP Labor - Remote Services Ctr"/>
    <s v="Labor"/>
    <s v="CO-C"/>
    <d v="2026-05-07T00:00:00"/>
    <x v="18"/>
    <x v="35"/>
    <s v="Billable Contractor"/>
    <m/>
    <s v="ORCL EG"/>
    <s v="502416 - 3WP-EMEA Delivery Middleware - IaaS"/>
    <s v="008U"/>
    <s v="Y"/>
    <s v="Y"/>
    <s v="Unrecognized"/>
    <n v="4"/>
    <s v="AED"/>
    <n v="68.87"/>
    <n v="542.25"/>
    <n v="275.48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11666"/>
    <s v="3029653520563341"/>
    <s v="1.04.00"/>
    <s v="FP Labor - Remote Services Ctr"/>
    <s v="Labor"/>
    <s v="CO-C"/>
    <d v="2026-05-07T00:00:00"/>
    <x v="18"/>
    <x v="13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09469"/>
    <s v="1531941655:2"/>
    <s v="1.04.00"/>
    <s v="FP Labor - Remote Services Ctr"/>
    <s v="Labor"/>
    <s v="CO-C"/>
    <d v="2026-05-07T00:00:00"/>
    <x v="18"/>
    <x v="23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2188"/>
    <s v="1535330675:3"/>
    <s v="1.04.00"/>
    <s v="FP Labor - Remote Services Ctr"/>
    <s v="Labor"/>
    <s v="CO-C"/>
    <d v="2026-05-07T00:00:00"/>
    <x v="18"/>
    <x v="32"/>
    <s v="Employee"/>
    <s v="5"/>
    <s v="ORCL IN OSSI"/>
    <s v="504546 - 98V:GSC-PaaS"/>
    <s v="09B2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09939016"/>
    <s v="1531934932:1"/>
    <s v="1.04.00"/>
    <s v="FP Labor - Remote Services Ctr"/>
    <s v="Labor"/>
    <s v="CO-C"/>
    <d v="2026-05-08T00:00:00"/>
    <x v="18"/>
    <x v="16"/>
    <s v="Employee"/>
    <s v="5"/>
    <s v="ORCL IN OSSI"/>
    <s v="504526 - 96V:GSC-DB &amp; Options"/>
    <s v="09B1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11665"/>
    <s v="3029653520563361"/>
    <s v="1.04.00"/>
    <s v="FP Labor - Remote Services Ctr"/>
    <s v="Labor"/>
    <s v="CO-C"/>
    <d v="2026-05-08T00:00:00"/>
    <x v="18"/>
    <x v="13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09160"/>
    <s v="1531941656:2"/>
    <s v="1.04.00"/>
    <s v="FP Labor - Remote Services Ctr"/>
    <s v="Labor"/>
    <s v="CO-C"/>
    <d v="2026-05-08T00:00:00"/>
    <x v="18"/>
    <x v="23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4486"/>
    <s v="1535330676:3"/>
    <s v="1.04.00"/>
    <s v="FP Labor - Remote Services Ctr"/>
    <s v="Labor"/>
    <s v="CO-C"/>
    <d v="2026-05-08T00:00:00"/>
    <x v="18"/>
    <x v="32"/>
    <s v="Employee"/>
    <s v="5"/>
    <s v="ORCL IN OSSI"/>
    <s v="504546 - 98V:GSC-PaaS"/>
    <s v="09B2"/>
    <s v="Y"/>
    <s v="Y"/>
    <s v="Unrecognized"/>
    <n v="8"/>
    <s v="AED"/>
    <n v="67.94"/>
    <n v="660.13"/>
    <n v="543.5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10692"/>
    <s v="3029649574979421"/>
    <s v="1.04.00"/>
    <s v="FP Labor - Remote Services Ctr"/>
    <s v="Labor"/>
    <s v="CO-C"/>
    <d v="2026-05-09T00:00:00"/>
    <x v="19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4129"/>
    <s v="1538350550:1"/>
    <s v="1.04.00"/>
    <s v="FP Labor - Remote Services Ctr"/>
    <s v="Labor"/>
    <s v="CO-C"/>
    <d v="2026-05-09T00:00:00"/>
    <x v="19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34635"/>
    <s v="3029653516009801"/>
    <s v="1.04.00"/>
    <s v="FP Labor - Remote Services Ctr"/>
    <s v="Labor"/>
    <s v="CO-C"/>
    <d v="2026-05-09T00:00:00"/>
    <x v="19"/>
    <x v="3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35348"/>
    <s v="3029649574979441"/>
    <s v="1.04.00"/>
    <s v="FP Labor - Remote Services Ctr"/>
    <s v="Labor"/>
    <s v="CO-C"/>
    <d v="2026-05-10T00:00:00"/>
    <x v="19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2755"/>
    <s v="1538350549:1"/>
    <s v="1.04.00"/>
    <s v="FP Labor - Remote Services Ctr"/>
    <s v="Labor"/>
    <s v="CO-C"/>
    <d v="2026-05-10T00:00:00"/>
    <x v="19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34358"/>
    <s v="3029643461705651"/>
    <s v="1.04.00"/>
    <s v="FP Labor - Remote Services Ctr"/>
    <s v="Labor"/>
    <s v="CO-C"/>
    <d v="2026-05-10T00:00:00"/>
    <x v="19"/>
    <x v="3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30680"/>
    <s v="3029652157329472"/>
    <s v="1.04.00"/>
    <s v="FP Labor - Remote Services Ctr"/>
    <s v="Labor"/>
    <s v="CO-C"/>
    <d v="2026-05-11T00:00:00"/>
    <x v="19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94323"/>
    <s v="1531934945:2"/>
    <s v="1.04.00"/>
    <s v="FP Labor - Remote Services Ctr"/>
    <s v="Labor"/>
    <s v="CO-C"/>
    <d v="2026-05-11T00:00:00"/>
    <x v="19"/>
    <x v="16"/>
    <s v="Employee"/>
    <s v="5"/>
    <s v="ORCL IN OSSI"/>
    <s v="504526 - 96V:GSC-DB &amp; Options"/>
    <s v="09B1"/>
    <s v="Y"/>
    <s v="Y"/>
    <s v="Unrecognized"/>
    <n v="12"/>
    <s v="AED"/>
    <n v="67.94"/>
    <n v="660.13"/>
    <n v="815.27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59776"/>
    <s v="3029639066505102"/>
    <s v="1.04.00"/>
    <s v="FP Labor - Remote Services Ctr"/>
    <s v="Labor"/>
    <s v="CO-C"/>
    <d v="2026-05-11T00:00:00"/>
    <x v="19"/>
    <x v="12"/>
    <s v="Billable Contractor"/>
    <m/>
    <s v="ORCL EG"/>
    <s v="509335 - U3K-EMEA Tech Delivery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59739"/>
    <s v="3029643461705671"/>
    <s v="1.04.00"/>
    <s v="FP Labor - Remote Services Ctr"/>
    <s v="Labor"/>
    <s v="CO-C"/>
    <d v="2026-05-11T00:00:00"/>
    <x v="19"/>
    <x v="35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08684"/>
    <s v="1531941676:3"/>
    <s v="1.04.00"/>
    <s v="FP Labor - Remote Services Ctr"/>
    <s v="Labor"/>
    <s v="CO-C"/>
    <d v="2026-05-11T00:00:00"/>
    <x v="19"/>
    <x v="23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s v="For 24th and 26th Dec booked timing considering 2 comp offs for working during weekends for Migration cutov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163460"/>
    <s v="1538356147:1"/>
    <s v="1.04.00"/>
    <s v="FP Labor - Remote Services Ctr"/>
    <s v="Labor"/>
    <s v="CO-C"/>
    <d v="2026-05-11T00:00:00"/>
    <x v="19"/>
    <x v="32"/>
    <s v="Employee"/>
    <s v="5"/>
    <s v="ORCL IN OSSI"/>
    <s v="504546 - 98V:GSC-PaaS"/>
    <s v="09B2"/>
    <s v="Y"/>
    <s v="Y"/>
    <s v="Unrecognized"/>
    <n v="15"/>
    <s v="AED"/>
    <n v="67.94"/>
    <n v="660.13"/>
    <n v="1019.08"/>
    <n v="0"/>
    <n v="9901.9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30677"/>
    <s v="3029652157329502"/>
    <s v="1.04.00"/>
    <s v="FP Labor - Remote Services Ctr"/>
    <s v="Labor"/>
    <s v="CO-C"/>
    <d v="2026-05-12T00:00:00"/>
    <x v="19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70341"/>
    <s v="1531934946:2"/>
    <s v="1.04.00"/>
    <s v="FP Labor - Remote Services Ctr"/>
    <s v="Labor"/>
    <s v="CO-C"/>
    <d v="2026-05-12T00:00:00"/>
    <x v="19"/>
    <x v="16"/>
    <s v="Employee"/>
    <s v="5"/>
    <s v="ORCL IN OSSI"/>
    <s v="504526 - 96V:GSC-DB &amp; Options"/>
    <s v="09B1"/>
    <s v="Y"/>
    <s v="Y"/>
    <s v="Unrecognized"/>
    <n v="12"/>
    <s v="AED"/>
    <n v="67.37"/>
    <n v="660.13"/>
    <n v="808.4"/>
    <n v="0"/>
    <n v="7921.5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28301"/>
    <s v="3029639066505132"/>
    <s v="1.04.00"/>
    <s v="FP Labor - Remote Services Ctr"/>
    <s v="Labor"/>
    <s v="CO-C"/>
    <d v="2026-05-12T00:00:00"/>
    <x v="19"/>
    <x v="12"/>
    <s v="Billable Contractor"/>
    <m/>
    <s v="ORCL EG"/>
    <s v="509335 - U3K-EMEA Tech Delivery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34631"/>
    <s v="3029643511859031"/>
    <s v="1.04.00"/>
    <s v="FP Labor - Remote Services Ctr"/>
    <s v="Labor"/>
    <s v="CO-C"/>
    <d v="2026-05-12T00:00:00"/>
    <x v="19"/>
    <x v="3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71282"/>
    <s v="1531941677:3"/>
    <s v="1.04.00"/>
    <s v="FP Labor - Remote Services Ctr"/>
    <s v="Labor"/>
    <s v="CO-C"/>
    <d v="2026-05-12T00:00:00"/>
    <x v="19"/>
    <x v="23"/>
    <s v="Employee"/>
    <s v="5"/>
    <s v="ORCL IN OSSI"/>
    <s v="504526 - 96V:GSC-DB &amp; Options"/>
    <s v="09B1"/>
    <s v="Y"/>
    <s v="Y"/>
    <s v="Unrecognized"/>
    <n v="16"/>
    <s v="AED"/>
    <n v="67.37"/>
    <n v="660.13"/>
    <n v="1077.8599999999999"/>
    <n v="0"/>
    <n v="10562.03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70718"/>
    <s v="1535330689:2"/>
    <s v="1.04.00"/>
    <s v="FP Labor - Remote Services Ctr"/>
    <s v="Labor"/>
    <s v="CO-C"/>
    <d v="2026-05-12T00:00:00"/>
    <x v="19"/>
    <x v="32"/>
    <s v="Employee"/>
    <s v="5"/>
    <s v="ORCL IN OSSI"/>
    <s v="504546 - 98V:GSC-PaaS"/>
    <s v="09B2"/>
    <s v="Y"/>
    <s v="Y"/>
    <s v="Unrecognized"/>
    <n v="15"/>
    <s v="AED"/>
    <n v="67.37"/>
    <n v="660.13"/>
    <n v="1010.5"/>
    <n v="0"/>
    <n v="9901.9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07660"/>
    <s v="3029652157329532"/>
    <s v="1.04.00"/>
    <s v="FP Labor - Remote Services Ctr"/>
    <s v="Labor"/>
    <s v="CO-C"/>
    <d v="2026-05-13T00:00:00"/>
    <x v="19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03559"/>
    <s v="1531934947:1"/>
    <s v="1.04.00"/>
    <s v="FP Labor - Remote Services Ctr"/>
    <s v="Labor"/>
    <s v="CO-C"/>
    <d v="2026-05-13T00:00:00"/>
    <x v="19"/>
    <x v="16"/>
    <s v="Employee"/>
    <s v="5"/>
    <s v="ORCL IN OSSI"/>
    <s v="504526 - 96V:GSC-DB &amp; Options"/>
    <s v="09B1"/>
    <s v="Y"/>
    <s v="Y"/>
    <s v="Unrecognized"/>
    <n v="8"/>
    <s v="AED"/>
    <n v="67.14"/>
    <n v="660.13"/>
    <n v="537.1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61939"/>
    <s v="3029639066505162"/>
    <s v="1.04.00"/>
    <s v="FP Labor - Remote Services Ctr"/>
    <s v="Labor"/>
    <s v="CO-C"/>
    <d v="2026-05-13T00:00:00"/>
    <x v="19"/>
    <x v="12"/>
    <s v="Billable Contractor"/>
    <m/>
    <s v="ORCL EG"/>
    <s v="509335 - U3K-EMEA Tech Delivery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34630"/>
    <s v="3029643511859052"/>
    <s v="1.04.00"/>
    <s v="FP Labor - Remote Services Ctr"/>
    <s v="Labor"/>
    <s v="CO-C"/>
    <d v="2026-05-13T00:00:00"/>
    <x v="19"/>
    <x v="3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39398"/>
    <s v="1531941680:3"/>
    <s v="1.04.00"/>
    <s v="FP Labor - Remote Services Ctr"/>
    <s v="Labor"/>
    <s v="CO-C"/>
    <d v="2026-05-13T00:00:00"/>
    <x v="19"/>
    <x v="23"/>
    <s v="Employee"/>
    <s v="5"/>
    <s v="ORCL IN OSSI"/>
    <s v="504526 - 96V:GSC-DB &amp; Options"/>
    <s v="09B1"/>
    <s v="Y"/>
    <s v="Y"/>
    <s v="Unrecognized"/>
    <n v="16"/>
    <s v="AED"/>
    <n v="67.14"/>
    <n v="660.13"/>
    <n v="1074.27"/>
    <n v="0"/>
    <n v="10562.03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39502"/>
    <s v="1535330690:2"/>
    <s v="1.04.00"/>
    <s v="FP Labor - Remote Services Ctr"/>
    <s v="Labor"/>
    <s v="CO-C"/>
    <d v="2026-05-13T00:00:00"/>
    <x v="19"/>
    <x v="32"/>
    <s v="Employee"/>
    <s v="5"/>
    <s v="ORCL IN OSSI"/>
    <s v="504546 - 98V:GSC-PaaS"/>
    <s v="09B2"/>
    <s v="Y"/>
    <s v="Y"/>
    <s v="Unrecognized"/>
    <n v="10"/>
    <s v="AED"/>
    <n v="67.14"/>
    <n v="660.13"/>
    <n v="671.42"/>
    <n v="0"/>
    <n v="6601.2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35155"/>
    <s v="3029652157329572"/>
    <s v="1.04.00"/>
    <s v="FP Labor - Remote Services Ctr"/>
    <s v="Labor"/>
    <s v="CO-C"/>
    <d v="2026-05-14T00:00:00"/>
    <x v="19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67910"/>
    <s v="1531934948:1"/>
    <s v="1.04.00"/>
    <s v="FP Labor - Remote Services Ctr"/>
    <s v="Labor"/>
    <s v="CO-C"/>
    <d v="2026-05-14T00:00:00"/>
    <x v="19"/>
    <x v="16"/>
    <s v="Employee"/>
    <s v="5"/>
    <s v="ORCL IN OSSI"/>
    <s v="504526 - 96V:GSC-DB &amp; Options"/>
    <s v="09B1"/>
    <s v="Y"/>
    <s v="Y"/>
    <s v="Unrecognized"/>
    <n v="8"/>
    <s v="AED"/>
    <n v="67.08"/>
    <n v="660.13"/>
    <n v="536.66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61425"/>
    <s v="3029639066505192"/>
    <s v="1.04.00"/>
    <s v="FP Labor - Remote Services Ctr"/>
    <s v="Labor"/>
    <s v="CO-C"/>
    <d v="2026-05-14T00:00:00"/>
    <x v="19"/>
    <x v="12"/>
    <s v="Billable Contractor"/>
    <m/>
    <s v="ORCL EG"/>
    <s v="509335 - U3K-EMEA Tech Delivery - P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34629"/>
    <s v="3029653516009901"/>
    <s v="1.04.00"/>
    <s v="FP Labor - Remote Services Ctr"/>
    <s v="Labor"/>
    <s v="CO-C"/>
    <d v="2026-05-14T00:00:00"/>
    <x v="19"/>
    <x v="3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417145"/>
    <s v="1531941678:3"/>
    <s v="1.04.00"/>
    <s v="FP Labor - Remote Services Ctr"/>
    <s v="Labor"/>
    <s v="CO-C"/>
    <d v="2026-05-14T00:00:00"/>
    <x v="19"/>
    <x v="23"/>
    <s v="Employee"/>
    <s v="5"/>
    <s v="ORCL IN OSSI"/>
    <s v="504526 - 96V:GSC-DB &amp; Options"/>
    <s v="09B1"/>
    <s v="Y"/>
    <s v="Y"/>
    <s v="Unrecognized"/>
    <n v="16"/>
    <s v="AED"/>
    <n v="67.08"/>
    <n v="660.13"/>
    <n v="1073.3399999999999"/>
    <n v="0"/>
    <n v="10562.03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291795"/>
    <s v="1535330691:1"/>
    <s v="1.04.00"/>
    <s v="FP Labor - Remote Services Ctr"/>
    <s v="Labor"/>
    <s v="CO-C"/>
    <d v="2026-05-14T00:00:00"/>
    <x v="19"/>
    <x v="32"/>
    <s v="Employee"/>
    <s v="5"/>
    <s v="ORCL IN OSSI"/>
    <s v="504546 - 98V:GSC-PaaS"/>
    <s v="09B2"/>
    <s v="Y"/>
    <s v="Y"/>
    <s v="Unrecognized"/>
    <n v="8"/>
    <s v="AED"/>
    <n v="67.08"/>
    <n v="660.13"/>
    <n v="536.66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451322"/>
    <s v="3029653605959321"/>
    <s v="1.04.00"/>
    <s v="FP Labor - Remote Services Ctr"/>
    <s v="Labor"/>
    <s v="CO-C"/>
    <d v="2026-05-15T00:00:00"/>
    <x v="19"/>
    <x v="34"/>
    <s v="Billable Contractor"/>
    <m/>
    <s v="ORCL AE"/>
    <s v="501325 - 4CF - EMEA Tech Delivery -Exadata"/>
    <s v="0069"/>
    <s v="Y"/>
    <s v="Y"/>
    <s v="Unrecognized"/>
    <n v="8"/>
    <s v="AED"/>
    <n v="98"/>
    <n v="471.52"/>
    <n v="784"/>
    <n v="0"/>
    <n v="3772.1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383685"/>
    <s v="1531934949:1"/>
    <s v="1.04.00"/>
    <s v="FP Labor - Remote Services Ctr"/>
    <s v="Labor"/>
    <s v="CO-C"/>
    <d v="2026-05-15T00:00:00"/>
    <x v="19"/>
    <x v="16"/>
    <s v="Employee"/>
    <s v="5"/>
    <s v="ORCL IN OSSI"/>
    <s v="504526 - 96V:GSC-DB &amp; Options"/>
    <s v="09B1"/>
    <s v="Y"/>
    <s v="Y"/>
    <s v="Unrecognized"/>
    <n v="8"/>
    <s v="AED"/>
    <n v="67.05"/>
    <n v="660.13"/>
    <n v="536.3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734628"/>
    <s v="3029653516009921"/>
    <s v="1.04.00"/>
    <s v="FP Labor - Remote Services Ctr"/>
    <s v="Labor"/>
    <s v="CO-C"/>
    <d v="2026-05-15T00:00:00"/>
    <x v="19"/>
    <x v="35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534325"/>
    <s v="1531941679:3"/>
    <s v="1.04.00"/>
    <s v="FP Labor - Remote Services Ctr"/>
    <s v="Labor"/>
    <s v="CO-C"/>
    <d v="2026-05-15T00:00:00"/>
    <x v="19"/>
    <x v="23"/>
    <s v="Employee"/>
    <s v="5"/>
    <s v="ORCL IN OSSI"/>
    <s v="504526 - 96V:GSC-DB &amp; Options"/>
    <s v="09B1"/>
    <s v="Y"/>
    <s v="Y"/>
    <s v="Unrecognized"/>
    <n v="16"/>
    <s v="AED"/>
    <n v="67.040000000000006"/>
    <n v="660.13"/>
    <n v="1072.71"/>
    <n v="0"/>
    <n v="10562.03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0535136"/>
    <s v="1535330692:2"/>
    <s v="1.04.00"/>
    <s v="FP Labor - Remote Services Ctr"/>
    <s v="Labor"/>
    <s v="CO-C"/>
    <d v="2026-05-15T00:00:00"/>
    <x v="19"/>
    <x v="32"/>
    <s v="Employee"/>
    <s v="5"/>
    <s v="ORCL IN OSSI"/>
    <s v="504546 - 98V:GSC-PaaS"/>
    <s v="09B2"/>
    <s v="Y"/>
    <s v="Y"/>
    <s v="Unrecognized"/>
    <n v="8"/>
    <s v="AED"/>
    <n v="67.05"/>
    <n v="660.13"/>
    <n v="536.3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218242"/>
    <s v="1541968657:3"/>
    <s v="1.04.00"/>
    <s v="FP Labor - Remote Services Ctr"/>
    <s v="Labor"/>
    <s v="CO-C"/>
    <d v="2026-06-01T00:00:00"/>
    <x v="28"/>
    <x v="3"/>
    <s v="Employee"/>
    <s v="6"/>
    <s v="ORCL IN OSSI"/>
    <s v="504506 - 94V:GSC-eStudio"/>
    <s v="09B4"/>
    <s v="Y"/>
    <s v="Y"/>
    <s v="Unrecognized"/>
    <n v="8"/>
    <s v="AED"/>
    <n v="108.11"/>
    <n v="754.44"/>
    <n v="864.8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130282"/>
    <s v="T_koustubh.kanetkar@oracle.com_2026-06-05_ CF_99"/>
    <s v="1.04.00"/>
    <s v="FP Labor - Remote Services Ctr"/>
    <s v="Labor"/>
    <s v="CO-C"/>
    <d v="2026-06-02T00:00:00"/>
    <x v="28"/>
    <x v="3"/>
    <s v="Employee"/>
    <s v="6"/>
    <s v="ORCL IN OSSI"/>
    <s v="504506 - 94V:GSC-eStudio"/>
    <s v="09B4"/>
    <s v="Y"/>
    <s v="Y"/>
    <s v="Unrecognized"/>
    <n v="8"/>
    <s v="AED"/>
    <n v="108.11"/>
    <n v="754.44"/>
    <n v="864.8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130281"/>
    <s v="T_koustubh.kanetkar@oracle.com_2026-06-05_ CF_98"/>
    <s v="1.04.00"/>
    <s v="FP Labor - Remote Services Ctr"/>
    <s v="Labor"/>
    <s v="CO-C"/>
    <d v="2026-06-03T00:00:00"/>
    <x v="28"/>
    <x v="3"/>
    <s v="Employee"/>
    <s v="6"/>
    <s v="ORCL IN OSSI"/>
    <s v="504506 - 94V:GSC-eStudio"/>
    <s v="09B4"/>
    <s v="Y"/>
    <s v="Y"/>
    <s v="Unrecognized"/>
    <n v="8"/>
    <s v="AED"/>
    <n v="108.11"/>
    <n v="754.44"/>
    <n v="864.8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130280"/>
    <s v="T_koustubh.kanetkar@oracle.com_2026-06-05_ CF_97"/>
    <s v="1.04.00"/>
    <s v="FP Labor - Remote Services Ctr"/>
    <s v="Labor"/>
    <s v="CO-C"/>
    <d v="2026-06-04T00:00:00"/>
    <x v="28"/>
    <x v="3"/>
    <s v="Employee"/>
    <s v="6"/>
    <s v="ORCL IN OSSI"/>
    <s v="504506 - 94V:GSC-eStudio"/>
    <s v="09B4"/>
    <s v="Y"/>
    <s v="Y"/>
    <s v="Unrecognized"/>
    <n v="8"/>
    <s v="AED"/>
    <n v="108.11"/>
    <n v="754.44"/>
    <n v="864.8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130279"/>
    <s v="T_koustubh.kanetkar@oracle.com_2026-06-05_ CF_96"/>
    <s v="1.04.00"/>
    <s v="FP Labor - Remote Services Ctr"/>
    <s v="Labor"/>
    <s v="CO-C"/>
    <d v="2026-06-05T00:00:00"/>
    <x v="28"/>
    <x v="3"/>
    <s v="Employee"/>
    <s v="6"/>
    <s v="ORCL IN OSSI"/>
    <s v="504506 - 94V:GSC-eStudio"/>
    <s v="09B4"/>
    <s v="Y"/>
    <s v="Y"/>
    <s v="Unrecognized"/>
    <n v="8"/>
    <s v="AED"/>
    <n v="108.11"/>
    <n v="754.44"/>
    <n v="864.8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218241"/>
    <s v="1541965819:1"/>
    <s v="1.04.00"/>
    <s v="FP Labor - Remote Services Ctr"/>
    <s v="Labor"/>
    <s v="CO-C"/>
    <d v="2026-06-08T00:00:00"/>
    <x v="29"/>
    <x v="3"/>
    <s v="Employee"/>
    <s v="6"/>
    <s v="ORCL IN OSSI"/>
    <s v="504506 - 94V:GSC-eStudio"/>
    <s v="09B4"/>
    <s v="Y"/>
    <s v="Y"/>
    <s v="Unrecognized"/>
    <n v="8"/>
    <s v="AED"/>
    <n v="108.67"/>
    <n v="754.44"/>
    <n v="869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130286"/>
    <s v="T_koustubh.kanetkar@oracle.com_2026-06-12_ CF_80"/>
    <s v="1.04.00"/>
    <s v="FP Labor - Remote Services Ctr"/>
    <s v="Labor"/>
    <s v="CO-C"/>
    <d v="2026-06-09T00:00:00"/>
    <x v="29"/>
    <x v="3"/>
    <s v="Employee"/>
    <s v="6"/>
    <s v="ORCL IN OSSI"/>
    <s v="504506 - 94V:GSC-eStudio"/>
    <s v="09B4"/>
    <s v="Y"/>
    <s v="Y"/>
    <s v="Unrecognized"/>
    <n v="8"/>
    <s v="AED"/>
    <n v="108.67"/>
    <n v="754.44"/>
    <n v="869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130284"/>
    <s v="T_koustubh.kanetkar@oracle.com_2026-06-12_ CF_81"/>
    <s v="1.04.00"/>
    <s v="FP Labor - Remote Services Ctr"/>
    <s v="Labor"/>
    <s v="CO-C"/>
    <d v="2026-06-10T00:00:00"/>
    <x v="29"/>
    <x v="3"/>
    <s v="Employee"/>
    <s v="6"/>
    <s v="ORCL IN OSSI"/>
    <s v="504506 - 94V:GSC-eStudio"/>
    <s v="09B4"/>
    <s v="Y"/>
    <s v="Y"/>
    <s v="Unrecognized"/>
    <n v="8"/>
    <s v="AED"/>
    <n v="108.2"/>
    <n v="754.44"/>
    <n v="865.5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130285"/>
    <s v="T_koustubh.kanetkar@oracle.com_2026-06-12_ CF_82"/>
    <s v="1.04.00"/>
    <s v="FP Labor - Remote Services Ctr"/>
    <s v="Labor"/>
    <s v="CO-C"/>
    <d v="2026-06-11T00:00:00"/>
    <x v="29"/>
    <x v="3"/>
    <s v="Employee"/>
    <s v="6"/>
    <s v="ORCL IN OSSI"/>
    <s v="504506 - 94V:GSC-eStudio"/>
    <s v="09B4"/>
    <s v="Y"/>
    <s v="Y"/>
    <s v="Unrecognized"/>
    <n v="8"/>
    <s v="AED"/>
    <n v="108.29"/>
    <n v="754.44"/>
    <n v="866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130283"/>
    <s v="T_koustubh.kanetkar@oracle.com_2026-06-12_ CF_83"/>
    <s v="1.04.00"/>
    <s v="FP Labor - Remote Services Ctr"/>
    <s v="Labor"/>
    <s v="CO-C"/>
    <d v="2026-06-12T00:00:00"/>
    <x v="29"/>
    <x v="3"/>
    <s v="Employee"/>
    <s v="6"/>
    <s v="ORCL IN OSSI"/>
    <s v="504506 - 94V:GSC-eStudio"/>
    <s v="09B4"/>
    <s v="Y"/>
    <s v="Y"/>
    <s v="Unrecognized"/>
    <n v="8"/>
    <s v="AED"/>
    <n v="108.29"/>
    <n v="754.44"/>
    <n v="866.3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033576"/>
    <s v="1542761306:2"/>
    <s v="1.04.00"/>
    <s v="FP Labor - Remote Services Ctr"/>
    <s v="Labor"/>
    <s v="CO-C"/>
    <d v="2026-06-15T00:00:00"/>
    <x v="20"/>
    <x v="27"/>
    <s v="Employee"/>
    <s v="6"/>
    <s v="ORCL IN OSSI"/>
    <s v="504526 - 96V:GSC-DB &amp; Options"/>
    <s v="09B4"/>
    <s v="Y"/>
    <s v="Y"/>
    <s v="Unrecognized"/>
    <n v="8"/>
    <s v="AED"/>
    <n v="108.47"/>
    <n v="754.44"/>
    <n v="867.7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79673"/>
    <s v="1541954770:2"/>
    <s v="1.04.00"/>
    <s v="FP Labor - Remote Services Ctr"/>
    <s v="Labor"/>
    <s v="CO-C"/>
    <d v="2026-06-15T00:00:00"/>
    <x v="20"/>
    <x v="17"/>
    <s v="Employee"/>
    <s v="5"/>
    <s v="ORCL IN OSSI"/>
    <s v="504526 - 96V:GSC-DB &amp; Options"/>
    <s v="09B3"/>
    <s v="Y"/>
    <s v="Y"/>
    <s v="Unrecognized"/>
    <n v="8"/>
    <s v="AED"/>
    <n v="67.5"/>
    <n v="660.13"/>
    <n v="540.0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71064"/>
    <s v="1541963968:2"/>
    <s v="1.04.00"/>
    <s v="FP Labor - Remote Services Ctr"/>
    <s v="Labor"/>
    <s v="CO-C"/>
    <d v="2026-06-15T00:00:00"/>
    <x v="20"/>
    <x v="19"/>
    <s v="Employee"/>
    <s v="4"/>
    <s v="ORCL IN OSSI"/>
    <s v="504526 - 96V:GSC-DB &amp; Options"/>
    <s v="09B4"/>
    <s v="Y"/>
    <s v="Y"/>
    <s v="Unrecognized"/>
    <n v="8"/>
    <s v="AED"/>
    <n v="67.5"/>
    <n v="542.25"/>
    <n v="540.0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218240"/>
    <s v="1541965836:1"/>
    <s v="1.04.00"/>
    <s v="FP Labor - Remote Services Ctr"/>
    <s v="Labor"/>
    <s v="CO-C"/>
    <d v="2026-06-15T00:00:00"/>
    <x v="20"/>
    <x v="3"/>
    <s v="Employee"/>
    <s v="6"/>
    <s v="ORCL IN OSSI"/>
    <s v="504506 - 94V:GSC-eStudio"/>
    <s v="09B4"/>
    <s v="Y"/>
    <s v="Y"/>
    <s v="Unrecognized"/>
    <n v="8"/>
    <s v="AED"/>
    <n v="108.47"/>
    <n v="754.44"/>
    <n v="867.7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66933"/>
    <s v="1541970548:2"/>
    <s v="1.04.00"/>
    <s v="FP Labor - Remote Services Ctr"/>
    <s v="Labor"/>
    <s v="CO-C"/>
    <d v="2026-06-15T00:00:00"/>
    <x v="20"/>
    <x v="31"/>
    <s v="Employee"/>
    <s v="6"/>
    <s v="ORCL IN OSSI"/>
    <s v="504506 - 94V:GSC-eStudio"/>
    <s v="09B2"/>
    <s v="Y"/>
    <s v="Y"/>
    <s v="Unrecognized"/>
    <n v="4"/>
    <s v="AED"/>
    <n v="108.47"/>
    <n v="754.44"/>
    <n v="433.87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033009"/>
    <s v="1542962774:1"/>
    <s v="1.04.00"/>
    <s v="FP Labor - Remote Services Ctr"/>
    <s v="Labor"/>
    <s v="CO-C"/>
    <d v="2026-06-16T00:00:00"/>
    <x v="20"/>
    <x v="27"/>
    <s v="Employee"/>
    <s v="6"/>
    <s v="ORCL IN OSSI"/>
    <s v="504526 - 96V:GSC-DB &amp; Options"/>
    <s v="09B4"/>
    <s v="Y"/>
    <s v="Y"/>
    <s v="Unrecognized"/>
    <n v="8"/>
    <s v="AED"/>
    <n v="108.93"/>
    <n v="754.44"/>
    <n v="871.4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82818"/>
    <s v="1542875438:1"/>
    <s v="1.04.00"/>
    <s v="FP Labor - Remote Services Ctr"/>
    <s v="Labor"/>
    <s v="CO-C"/>
    <d v="2026-06-16T00:00:00"/>
    <x v="20"/>
    <x v="17"/>
    <s v="Employee"/>
    <s v="5"/>
    <s v="ORCL IN OSSI"/>
    <s v="504526 - 96V:GSC-DB &amp; Options"/>
    <s v="09B3"/>
    <s v="Y"/>
    <s v="Y"/>
    <s v="Unrecognized"/>
    <n v="8"/>
    <s v="AED"/>
    <n v="67.790000000000006"/>
    <n v="660.13"/>
    <n v="542.32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66303"/>
    <s v="1542907946:1"/>
    <s v="1.04.00"/>
    <s v="FP Labor - Remote Services Ctr"/>
    <s v="Labor"/>
    <s v="CO-C"/>
    <d v="2026-06-16T00:00:00"/>
    <x v="20"/>
    <x v="19"/>
    <s v="Employee"/>
    <s v="4"/>
    <s v="ORCL IN OSSI"/>
    <s v="504526 - 96V:GSC-DB &amp; Options"/>
    <s v="09B4"/>
    <s v="Y"/>
    <s v="Y"/>
    <s v="Unrecognized"/>
    <n v="8"/>
    <s v="AED"/>
    <n v="67.790000000000006"/>
    <n v="542.25"/>
    <n v="542.32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80970"/>
    <s v="1541970549:2"/>
    <s v="1.04.00"/>
    <s v="FP Labor - Remote Services Ctr"/>
    <s v="Labor"/>
    <s v="CO-C"/>
    <d v="2026-06-16T00:00:00"/>
    <x v="20"/>
    <x v="31"/>
    <s v="Employee"/>
    <s v="6"/>
    <s v="ORCL IN OSSI"/>
    <s v="504506 - 94V:GSC-eStudio"/>
    <s v="09B2"/>
    <s v="Y"/>
    <s v="Y"/>
    <s v="Unrecognized"/>
    <n v="6"/>
    <s v="AED"/>
    <n v="108.93"/>
    <n v="754.44"/>
    <n v="653.55999999999995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032745"/>
    <s v="1542962773:1"/>
    <s v="1.04.00"/>
    <s v="FP Labor - Remote Services Ctr"/>
    <s v="Labor"/>
    <s v="CO-C"/>
    <d v="2026-06-17T00:00:00"/>
    <x v="20"/>
    <x v="27"/>
    <s v="Employee"/>
    <s v="6"/>
    <s v="ORCL IN OSSI"/>
    <s v="504526 - 96V:GSC-DB &amp; Options"/>
    <s v="09B4"/>
    <s v="Y"/>
    <s v="Y"/>
    <s v="Unrecognized"/>
    <n v="8"/>
    <s v="AED"/>
    <n v="108.93"/>
    <n v="754.44"/>
    <n v="871.4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77336"/>
    <s v="1542875437:1"/>
    <s v="1.04.00"/>
    <s v="FP Labor - Remote Services Ctr"/>
    <s v="Labor"/>
    <s v="CO-C"/>
    <d v="2026-06-17T00:00:00"/>
    <x v="20"/>
    <x v="17"/>
    <s v="Employee"/>
    <s v="5"/>
    <s v="ORCL IN OSSI"/>
    <s v="504526 - 96V:GSC-DB &amp; Options"/>
    <s v="09B3"/>
    <s v="Y"/>
    <s v="Y"/>
    <s v="Unrecognized"/>
    <n v="8"/>
    <s v="AED"/>
    <n v="67.790000000000006"/>
    <n v="660.13"/>
    <n v="542.32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79419"/>
    <s v="1542907945:1"/>
    <s v="1.04.00"/>
    <s v="FP Labor - Remote Services Ctr"/>
    <s v="Labor"/>
    <s v="CO-C"/>
    <d v="2026-06-17T00:00:00"/>
    <x v="20"/>
    <x v="19"/>
    <s v="Employee"/>
    <s v="4"/>
    <s v="ORCL IN OSSI"/>
    <s v="504526 - 96V:GSC-DB &amp; Options"/>
    <s v="09B4"/>
    <s v="Y"/>
    <s v="Y"/>
    <s v="Unrecognized"/>
    <n v="8"/>
    <s v="AED"/>
    <n v="67.790000000000006"/>
    <n v="542.25"/>
    <n v="542.32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70003"/>
    <s v="1541970552:2"/>
    <s v="1.04.00"/>
    <s v="FP Labor - Remote Services Ctr"/>
    <s v="Labor"/>
    <s v="CO-C"/>
    <d v="2026-06-17T00:00:00"/>
    <x v="20"/>
    <x v="31"/>
    <s v="Employee"/>
    <s v="6"/>
    <s v="ORCL IN OSSI"/>
    <s v="504506 - 94V:GSC-eStudio"/>
    <s v="09B2"/>
    <s v="Y"/>
    <s v="Y"/>
    <s v="Unrecognized"/>
    <n v="6"/>
    <s v="AED"/>
    <n v="108.93"/>
    <n v="754.44"/>
    <n v="653.55999999999995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032844"/>
    <s v="1542962772:1"/>
    <s v="1.04.00"/>
    <s v="FP Labor - Remote Services Ctr"/>
    <s v="Labor"/>
    <s v="CO-C"/>
    <d v="2026-06-18T00:00:00"/>
    <x v="20"/>
    <x v="27"/>
    <s v="Employee"/>
    <s v="6"/>
    <s v="ORCL IN OSSI"/>
    <s v="504526 - 96V:GSC-DB &amp; Options"/>
    <s v="09B4"/>
    <s v="Y"/>
    <s v="Y"/>
    <s v="Unrecognized"/>
    <n v="4"/>
    <s v="AED"/>
    <n v="109.14"/>
    <n v="754.44"/>
    <n v="436.55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78123"/>
    <s v="1542875436:1"/>
    <s v="1.04.00"/>
    <s v="FP Labor - Remote Services Ctr"/>
    <s v="Labor"/>
    <s v="CO-C"/>
    <d v="2026-06-18T00:00:00"/>
    <x v="20"/>
    <x v="17"/>
    <s v="Employee"/>
    <s v="5"/>
    <s v="ORCL IN OSSI"/>
    <s v="504526 - 96V:GSC-DB &amp; Options"/>
    <s v="09B3"/>
    <s v="Y"/>
    <s v="Y"/>
    <s v="Unrecognized"/>
    <n v="4"/>
    <s v="AED"/>
    <n v="67.92"/>
    <n v="660.13"/>
    <n v="271.69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66924"/>
    <s v="1542907944:1"/>
    <s v="1.04.00"/>
    <s v="FP Labor - Remote Services Ctr"/>
    <s v="Labor"/>
    <s v="CO-C"/>
    <d v="2026-06-18T00:00:00"/>
    <x v="20"/>
    <x v="19"/>
    <s v="Employee"/>
    <s v="4"/>
    <s v="ORCL IN OSSI"/>
    <s v="504526 - 96V:GSC-DB &amp; Options"/>
    <s v="09B4"/>
    <s v="Y"/>
    <s v="Y"/>
    <s v="Unrecognized"/>
    <n v="2"/>
    <s v="AED"/>
    <n v="67.92"/>
    <n v="542.25"/>
    <n v="135.84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2966584"/>
    <s v="1541970554:2"/>
    <s v="1.04.00"/>
    <s v="FP Labor - Remote Services Ctr"/>
    <s v="Labor"/>
    <s v="CO-C"/>
    <d v="2026-06-18T00:00:00"/>
    <x v="20"/>
    <x v="31"/>
    <s v="Employee"/>
    <s v="6"/>
    <s v="ORCL IN OSSI"/>
    <s v="504506 - 94V:GSC-eStudio"/>
    <s v="09B2"/>
    <s v="Y"/>
    <s v="Y"/>
    <s v="Unrecognized"/>
    <n v="6"/>
    <s v="AED"/>
    <n v="109.14"/>
    <n v="754.44"/>
    <n v="654.83000000000004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143496"/>
    <s v="1542907943:1"/>
    <s v="1.04.00"/>
    <s v="FP Labor - Remote Services Ctr"/>
    <s v="Labor"/>
    <s v="CO-C"/>
    <d v="2026-06-19T00:00:00"/>
    <x v="20"/>
    <x v="19"/>
    <s v="Employee"/>
    <s v="4"/>
    <s v="ORCL IN OSSI"/>
    <s v="504526 - 96V:GSC-DB &amp; Options"/>
    <s v="09B4"/>
    <s v="Y"/>
    <s v="Y"/>
    <s v="Unrecognized"/>
    <n v="2"/>
    <s v="AED"/>
    <n v="68.069999999999993"/>
    <n v="542.25"/>
    <n v="136.13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134108"/>
    <s v="1541970547:2"/>
    <s v="1.04.00"/>
    <s v="FP Labor - Remote Services Ctr"/>
    <s v="Labor"/>
    <s v="CO-C"/>
    <d v="2026-06-19T00:00:00"/>
    <x v="20"/>
    <x v="31"/>
    <s v="Employee"/>
    <s v="6"/>
    <s v="ORCL IN OSSI"/>
    <s v="504506 - 94V:GSC-eStudio"/>
    <s v="09B2"/>
    <s v="Y"/>
    <s v="Y"/>
    <s v="Unrecognized"/>
    <n v="6"/>
    <s v="AED"/>
    <n v="109.37"/>
    <n v="754.44"/>
    <n v="656.24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90446"/>
    <s v="1542760745:4"/>
    <s v="1.04.00"/>
    <s v="FP Labor - Remote Services Ctr"/>
    <s v="Labor"/>
    <s v="CO-C"/>
    <d v="2026-06-22T00:00:00"/>
    <x v="21"/>
    <x v="27"/>
    <s v="Employee"/>
    <s v="6"/>
    <s v="ORCL IN OSSI"/>
    <s v="504526 - 96V:GSC-DB &amp; Options"/>
    <s v="09B4"/>
    <s v="Y"/>
    <s v="Y"/>
    <s v="Unrecognized"/>
    <n v="8"/>
    <s v="AED"/>
    <n v="109.37"/>
    <n v="754.44"/>
    <n v="874.9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92156"/>
    <s v="1541968640:2"/>
    <s v="1.04.00"/>
    <s v="FP Labor - Remote Services Ctr"/>
    <s v="Labor"/>
    <s v="CO-C"/>
    <d v="2026-06-22T00:00:00"/>
    <x v="21"/>
    <x v="17"/>
    <s v="Employee"/>
    <s v="5"/>
    <s v="ORCL IN OSSI"/>
    <s v="504526 - 96V:GSC-DB &amp; Options"/>
    <s v="09B3"/>
    <s v="Y"/>
    <s v="Y"/>
    <s v="Unrecognized"/>
    <n v="8"/>
    <s v="AED"/>
    <n v="68.069999999999993"/>
    <n v="660.13"/>
    <n v="544.5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86933"/>
    <s v="1541963985:2"/>
    <s v="1.04.00"/>
    <s v="FP Labor - Remote Services Ctr"/>
    <s v="Labor"/>
    <s v="CO-C"/>
    <d v="2026-06-22T00:00:00"/>
    <x v="21"/>
    <x v="19"/>
    <s v="Employee"/>
    <s v="4"/>
    <s v="ORCL IN OSSI"/>
    <s v="504526 - 96V:GSC-DB &amp; Options"/>
    <s v="09B4"/>
    <s v="Y"/>
    <s v="Y"/>
    <s v="Unrecognized"/>
    <n v="8"/>
    <s v="AED"/>
    <n v="68.069999999999993"/>
    <n v="542.25"/>
    <n v="544.5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77590"/>
    <s v="1541970597:2"/>
    <s v="1.04.00"/>
    <s v="FP Labor - Remote Services Ctr"/>
    <s v="Labor"/>
    <s v="CO-C"/>
    <d v="2026-06-22T00:00:00"/>
    <x v="21"/>
    <x v="31"/>
    <s v="Employee"/>
    <s v="6"/>
    <s v="ORCL IN OSSI"/>
    <s v="504506 - 94V:GSC-eStudio"/>
    <s v="09B2"/>
    <s v="Y"/>
    <s v="Y"/>
    <s v="Unrecognized"/>
    <n v="4"/>
    <s v="AED"/>
    <n v="109.37"/>
    <n v="754.44"/>
    <n v="437.49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80857"/>
    <s v="1542962805:1"/>
    <s v="1.04.00"/>
    <s v="FP Labor - Remote Services Ctr"/>
    <s v="Labor"/>
    <s v="CO-C"/>
    <d v="2026-06-23T00:00:00"/>
    <x v="21"/>
    <x v="27"/>
    <s v="Employee"/>
    <s v="6"/>
    <s v="ORCL IN OSSI"/>
    <s v="504526 - 96V:GSC-DB &amp; Options"/>
    <s v="09B4"/>
    <s v="Y"/>
    <s v="Y"/>
    <s v="Unrecognized"/>
    <n v="8"/>
    <s v="AED"/>
    <n v="109.37"/>
    <n v="754.44"/>
    <n v="874.98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90957"/>
    <s v="1541968644:2"/>
    <s v="1.04.00"/>
    <s v="FP Labor - Remote Services Ctr"/>
    <s v="Labor"/>
    <s v="CO-C"/>
    <d v="2026-06-23T00:00:00"/>
    <x v="21"/>
    <x v="17"/>
    <s v="Employee"/>
    <s v="5"/>
    <s v="ORCL IN OSSI"/>
    <s v="504526 - 96V:GSC-DB &amp; Options"/>
    <s v="09B3"/>
    <s v="Y"/>
    <s v="Y"/>
    <s v="Unrecognized"/>
    <n v="8"/>
    <s v="AED"/>
    <n v="68.069999999999993"/>
    <n v="660.13"/>
    <n v="544.5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80872"/>
    <s v="1542912218:1"/>
    <s v="1.04.00"/>
    <s v="FP Labor - Remote Services Ctr"/>
    <s v="Labor"/>
    <s v="CO-C"/>
    <d v="2026-06-23T00:00:00"/>
    <x v="21"/>
    <x v="19"/>
    <s v="Employee"/>
    <s v="4"/>
    <s v="ORCL IN OSSI"/>
    <s v="504526 - 96V:GSC-DB &amp; Options"/>
    <s v="09B4"/>
    <s v="Y"/>
    <s v="Y"/>
    <s v="Unrecognized"/>
    <n v="8"/>
    <s v="AED"/>
    <n v="68.069999999999993"/>
    <n v="542.25"/>
    <n v="544.5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382032"/>
    <s v="1541970598:2"/>
    <s v="1.04.00"/>
    <s v="FP Labor - Remote Services Ctr"/>
    <s v="Labor"/>
    <s v="CO-C"/>
    <d v="2026-06-23T00:00:00"/>
    <x v="21"/>
    <x v="31"/>
    <s v="Employee"/>
    <s v="6"/>
    <s v="ORCL IN OSSI"/>
    <s v="504506 - 94V:GSC-eStudio"/>
    <s v="09B2"/>
    <s v="Y"/>
    <s v="Y"/>
    <s v="Unrecognized"/>
    <n v="6"/>
    <s v="AED"/>
    <n v="109.37"/>
    <n v="754.44"/>
    <n v="656.24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463099"/>
    <s v="1542962804:1"/>
    <s v="1.04.00"/>
    <s v="FP Labor - Remote Services Ctr"/>
    <s v="Labor"/>
    <s v="CO-C"/>
    <d v="2026-06-24T00:00:00"/>
    <x v="21"/>
    <x v="27"/>
    <s v="Employee"/>
    <s v="6"/>
    <s v="ORCL IN OSSI"/>
    <s v="504526 - 96V:GSC-DB &amp; Options"/>
    <s v="09B4"/>
    <s v="Y"/>
    <s v="Y"/>
    <s v="Unrecognized"/>
    <n v="8"/>
    <s v="AED"/>
    <n v="108.9"/>
    <n v="754.44"/>
    <n v="871.23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77900"/>
    <s v="1541968643:2"/>
    <s v="1.04.00"/>
    <s v="FP Labor - Remote Services Ctr"/>
    <s v="Labor"/>
    <s v="CO-C"/>
    <d v="2026-06-24T00:00:00"/>
    <x v="21"/>
    <x v="17"/>
    <s v="Employee"/>
    <s v="5"/>
    <s v="ORCL IN OSSI"/>
    <s v="504526 - 96V:GSC-DB &amp; Options"/>
    <s v="09B3"/>
    <s v="Y"/>
    <s v="Y"/>
    <s v="Unrecognized"/>
    <n v="8"/>
    <s v="AED"/>
    <n v="67.78"/>
    <n v="660.13"/>
    <n v="542.20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472907"/>
    <s v="1542912217:1"/>
    <s v="1.04.00"/>
    <s v="FP Labor - Remote Services Ctr"/>
    <s v="Labor"/>
    <s v="CO-C"/>
    <d v="2026-06-24T00:00:00"/>
    <x v="21"/>
    <x v="19"/>
    <s v="Employee"/>
    <s v="4"/>
    <s v="ORCL IN OSSI"/>
    <s v="504526 - 96V:GSC-DB &amp; Options"/>
    <s v="09B4"/>
    <s v="Y"/>
    <s v="Y"/>
    <s v="Unrecognized"/>
    <n v="8"/>
    <s v="AED"/>
    <n v="67.78"/>
    <n v="542.25"/>
    <n v="542.20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472996"/>
    <s v="1541970601:2"/>
    <s v="1.04.00"/>
    <s v="FP Labor - Remote Services Ctr"/>
    <s v="Labor"/>
    <s v="CO-C"/>
    <d v="2026-06-24T00:00:00"/>
    <x v="21"/>
    <x v="31"/>
    <s v="Employee"/>
    <s v="6"/>
    <s v="ORCL IN OSSI"/>
    <s v="504506 - 94V:GSC-eStudio"/>
    <s v="09B2"/>
    <s v="Y"/>
    <s v="Y"/>
    <s v="Unrecognized"/>
    <n v="6"/>
    <s v="AED"/>
    <n v="108.9"/>
    <n v="754.44"/>
    <n v="653.41999999999996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554149"/>
    <s v="1542962803:1"/>
    <s v="1.04.00"/>
    <s v="FP Labor - Remote Services Ctr"/>
    <s v="Labor"/>
    <s v="CO-C"/>
    <d v="2026-06-25T00:00:00"/>
    <x v="21"/>
    <x v="27"/>
    <s v="Employee"/>
    <s v="6"/>
    <s v="ORCL IN OSSI"/>
    <s v="504526 - 96V:GSC-DB &amp; Options"/>
    <s v="09B4"/>
    <s v="Y"/>
    <s v="Y"/>
    <s v="Unrecognized"/>
    <n v="4"/>
    <s v="AED"/>
    <n v="108.91"/>
    <n v="754.44"/>
    <n v="435.62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92174"/>
    <s v="1541968642:2"/>
    <s v="1.04.00"/>
    <s v="FP Labor - Remote Services Ctr"/>
    <s v="Labor"/>
    <s v="CO-C"/>
    <d v="2026-06-25T00:00:00"/>
    <x v="21"/>
    <x v="17"/>
    <s v="Employee"/>
    <s v="5"/>
    <s v="ORCL IN OSSI"/>
    <s v="504526 - 96V:GSC-DB &amp; Options"/>
    <s v="09B3"/>
    <s v="Y"/>
    <s v="Y"/>
    <s v="Unrecognized"/>
    <n v="2"/>
    <s v="AED"/>
    <n v="67.78"/>
    <n v="660.13"/>
    <n v="135.55000000000001"/>
    <n v="0"/>
    <n v="1320.2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572948"/>
    <s v="1542912216:1"/>
    <s v="1.04.00"/>
    <s v="FP Labor - Remote Services Ctr"/>
    <s v="Labor"/>
    <s v="CO-C"/>
    <d v="2026-06-25T00:00:00"/>
    <x v="21"/>
    <x v="19"/>
    <s v="Employee"/>
    <s v="4"/>
    <s v="ORCL IN OSSI"/>
    <s v="504526 - 96V:GSC-DB &amp; Options"/>
    <s v="09B4"/>
    <s v="Y"/>
    <s v="Y"/>
    <s v="Unrecognized"/>
    <n v="2"/>
    <s v="AED"/>
    <n v="67.78"/>
    <n v="542.25"/>
    <n v="135.55000000000001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571655"/>
    <s v="1541970603:2"/>
    <s v="1.04.00"/>
    <s v="FP Labor - Remote Services Ctr"/>
    <s v="Labor"/>
    <s v="CO-C"/>
    <d v="2026-06-25T00:00:00"/>
    <x v="21"/>
    <x v="31"/>
    <s v="Employee"/>
    <s v="6"/>
    <s v="ORCL IN OSSI"/>
    <s v="504506 - 94V:GSC-eStudio"/>
    <s v="09B2"/>
    <s v="Y"/>
    <s v="Y"/>
    <s v="Unrecognized"/>
    <n v="6"/>
    <s v="AED"/>
    <n v="108.9"/>
    <n v="754.44"/>
    <n v="653.41999999999996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91697"/>
    <s v="1541968641:2"/>
    <s v="1.04.00"/>
    <s v="FP Labor - Remote Services Ctr"/>
    <s v="Labor"/>
    <s v="CO-C"/>
    <d v="2026-06-26T00:00:00"/>
    <x v="21"/>
    <x v="17"/>
    <s v="Employee"/>
    <s v="5"/>
    <s v="ORCL IN OSSI"/>
    <s v="504526 - 96V:GSC-DB &amp; Options"/>
    <s v="09B3"/>
    <s v="Y"/>
    <s v="Y"/>
    <s v="Unrecognized"/>
    <n v="2"/>
    <s v="AED"/>
    <n v="67.78"/>
    <n v="660.13"/>
    <n v="135.55000000000001"/>
    <n v="0"/>
    <n v="1320.2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02939"/>
    <s v="1542912215:1"/>
    <s v="1.04.00"/>
    <s v="FP Labor - Remote Services Ctr"/>
    <s v="Labor"/>
    <s v="CO-C"/>
    <d v="2026-06-26T00:00:00"/>
    <x v="21"/>
    <x v="19"/>
    <s v="Employee"/>
    <s v="4"/>
    <s v="ORCL IN OSSI"/>
    <s v="504526 - 96V:GSC-DB &amp; Options"/>
    <s v="09B4"/>
    <s v="Y"/>
    <s v="Y"/>
    <s v="Unrecognized"/>
    <n v="2"/>
    <s v="AED"/>
    <n v="67.78"/>
    <n v="542.25"/>
    <n v="135.55000000000001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3704698"/>
    <s v="1541970604:2"/>
    <s v="1.04.00"/>
    <s v="FP Labor - Remote Services Ctr"/>
    <s v="Labor"/>
    <s v="CO-C"/>
    <d v="2026-06-26T00:00:00"/>
    <x v="21"/>
    <x v="31"/>
    <s v="Employee"/>
    <s v="6"/>
    <s v="ORCL IN OSSI"/>
    <s v="504506 - 94V:GSC-eStudio"/>
    <s v="09B2"/>
    <s v="Y"/>
    <s v="Y"/>
    <s v="Unrecognized"/>
    <n v="6"/>
    <s v="AED"/>
    <n v="108.9"/>
    <n v="754.44"/>
    <n v="653.41999999999996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8976"/>
    <s v="3029671754137131"/>
    <s v="1.04.00"/>
    <s v="FP Labor - Remote Services Ctr"/>
    <s v="Labor"/>
    <s v="CO-C"/>
    <d v="2026-06-27T00:00:00"/>
    <x v="22"/>
    <x v="27"/>
    <s v="Employee"/>
    <s v="6"/>
    <s v="ORCL IN OSSI"/>
    <s v="504526 - 96V:GSC-DB &amp; Options"/>
    <s v="09B4"/>
    <s v="Y"/>
    <s v="Y"/>
    <s v="Unrecognized"/>
    <n v="8"/>
    <s v="AED"/>
    <n v="109.21"/>
    <n v="754.44"/>
    <n v="873.7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250"/>
    <s v="3029671758953201"/>
    <s v="1.04.00"/>
    <s v="FP Labor - Remote Services Ctr"/>
    <s v="Labor"/>
    <s v="CO-C"/>
    <d v="2026-06-27T00:00:00"/>
    <x v="22"/>
    <x v="17"/>
    <s v="Employee"/>
    <s v="5"/>
    <s v="ORCL IN OSSI"/>
    <s v="504526 - 96V:GSC-DB &amp; Options"/>
    <s v="09B3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8974"/>
    <s v="3029671754137161"/>
    <s v="1.04.00"/>
    <s v="FP Labor - Remote Services Ctr"/>
    <s v="Labor"/>
    <s v="CO-C"/>
    <d v="2026-06-28T00:00:00"/>
    <x v="22"/>
    <x v="27"/>
    <s v="Employee"/>
    <s v="6"/>
    <s v="ORCL IN OSSI"/>
    <s v="504526 - 96V:GSC-DB &amp; Options"/>
    <s v="09B4"/>
    <s v="Y"/>
    <s v="Y"/>
    <s v="Unrecognized"/>
    <n v="8"/>
    <s v="AED"/>
    <n v="109.21"/>
    <n v="754.44"/>
    <n v="873.7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248"/>
    <s v="3029671758953231"/>
    <s v="1.04.00"/>
    <s v="FP Labor - Remote Services Ctr"/>
    <s v="Labor"/>
    <s v="CO-C"/>
    <d v="2026-06-28T00:00:00"/>
    <x v="22"/>
    <x v="17"/>
    <s v="Employee"/>
    <s v="5"/>
    <s v="ORCL IN OSSI"/>
    <s v="504526 - 96V:GSC-DB &amp; Options"/>
    <s v="09B3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8937"/>
    <s v="3029671754137181"/>
    <s v="1.04.00"/>
    <s v="FP Labor - Remote Services Ctr"/>
    <s v="Labor"/>
    <s v="CO-C"/>
    <d v="2026-06-29T00:00:00"/>
    <x v="22"/>
    <x v="27"/>
    <s v="Employee"/>
    <s v="6"/>
    <s v="ORCL IN OSSI"/>
    <s v="504526 - 96V:GSC-DB &amp; Options"/>
    <s v="09B4"/>
    <s v="Y"/>
    <s v="Y"/>
    <s v="Unrecognized"/>
    <n v="8"/>
    <s v="AED"/>
    <n v="109.21"/>
    <n v="754.44"/>
    <n v="873.7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246"/>
    <s v="3029669140628892"/>
    <s v="1.04.00"/>
    <s v="FP Labor - Remote Services Ctr"/>
    <s v="Labor"/>
    <s v="CO-C"/>
    <d v="2026-06-29T00:00:00"/>
    <x v="22"/>
    <x v="17"/>
    <s v="Employee"/>
    <s v="5"/>
    <s v="ORCL IN OSSI"/>
    <s v="504526 - 96V:GSC-DB &amp; Options"/>
    <s v="09B3"/>
    <s v="Y"/>
    <s v="Y"/>
    <s v="Unrecognized"/>
    <n v="6"/>
    <s v="AED"/>
    <n v="67.97"/>
    <n v="660.13"/>
    <n v="407.81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309361"/>
    <s v="3029673849389841"/>
    <s v="1.04.00"/>
    <s v="FP Labor - Remote Services Ctr"/>
    <s v="Labor"/>
    <s v="CO-C"/>
    <d v="2026-06-29T00:00:00"/>
    <x v="22"/>
    <x v="19"/>
    <s v="Employee"/>
    <s v="4"/>
    <s v="ORCL IN OSSI"/>
    <s v="504526 - 96V:GSC-DB &amp; Options"/>
    <s v="09B4"/>
    <s v="Y"/>
    <s v="Y"/>
    <s v="Unrecognized"/>
    <n v="6"/>
    <s v="AED"/>
    <n v="67.97"/>
    <n v="542.25"/>
    <n v="407.81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9631"/>
    <s v="3029671724183531"/>
    <s v="1.04.00"/>
    <s v="FP Labor - Remote Services Ctr"/>
    <s v="Labor"/>
    <s v="CO-C"/>
    <d v="2026-06-29T00:00:00"/>
    <x v="22"/>
    <x v="31"/>
    <s v="Employee"/>
    <s v="6"/>
    <s v="ORCL IN OSSI"/>
    <s v="504506 - 94V:GSC-eStudio"/>
    <s v="09B2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8936"/>
    <s v="3029671754137201"/>
    <s v="1.04.00"/>
    <s v="FP Labor - Remote Services Ctr"/>
    <s v="Labor"/>
    <s v="CO-C"/>
    <d v="2026-06-30T00:00:00"/>
    <x v="22"/>
    <x v="27"/>
    <s v="Employee"/>
    <s v="6"/>
    <s v="ORCL IN OSSI"/>
    <s v="504526 - 96V:GSC-DB &amp; Options"/>
    <s v="09B4"/>
    <s v="Y"/>
    <s v="Y"/>
    <s v="Unrecognized"/>
    <n v="8"/>
    <s v="AED"/>
    <n v="109.21"/>
    <n v="754.44"/>
    <n v="873.7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222"/>
    <s v="3029669140628922"/>
    <s v="1.04.00"/>
    <s v="FP Labor - Remote Services Ctr"/>
    <s v="Labor"/>
    <s v="CO-C"/>
    <d v="2026-06-30T00:00:00"/>
    <x v="22"/>
    <x v="17"/>
    <s v="Employee"/>
    <s v="5"/>
    <s v="ORCL IN OSSI"/>
    <s v="504526 - 96V:GSC-DB &amp; Options"/>
    <s v="09B3"/>
    <s v="Y"/>
    <s v="Y"/>
    <s v="Unrecognized"/>
    <n v="6"/>
    <s v="AED"/>
    <n v="67.97"/>
    <n v="660.13"/>
    <n v="407.81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309359"/>
    <s v="3029673849389871"/>
    <s v="1.04.00"/>
    <s v="FP Labor - Remote Services Ctr"/>
    <s v="Labor"/>
    <s v="CO-C"/>
    <d v="2026-06-30T00:00:00"/>
    <x v="22"/>
    <x v="19"/>
    <s v="Employee"/>
    <s v="4"/>
    <s v="ORCL IN OSSI"/>
    <s v="504526 - 96V:GSC-DB &amp; Options"/>
    <s v="09B4"/>
    <s v="Y"/>
    <s v="Y"/>
    <s v="Unrecognized"/>
    <n v="6"/>
    <s v="AED"/>
    <n v="67.97"/>
    <n v="542.25"/>
    <n v="407.81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9629"/>
    <s v="3029671724183561"/>
    <s v="1.04.00"/>
    <s v="FP Labor - Remote Services Ctr"/>
    <s v="Labor"/>
    <s v="CO-C"/>
    <d v="2026-06-30T00:00:00"/>
    <x v="22"/>
    <x v="31"/>
    <s v="Employee"/>
    <s v="6"/>
    <s v="ORCL IN OSSI"/>
    <s v="504506 - 94V:GSC-eStudio"/>
    <s v="09B2"/>
    <s v="Y"/>
    <s v="Y"/>
    <s v="Unrecognized"/>
    <n v="6"/>
    <s v="AED"/>
    <n v="109.21"/>
    <n v="754.44"/>
    <n v="655.28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8935"/>
    <s v="3029671754137221"/>
    <s v="1.04.00"/>
    <s v="FP Labor - Remote Services Ctr"/>
    <s v="Labor"/>
    <s v="CO-C"/>
    <d v="2026-07-01T00:00:00"/>
    <x v="22"/>
    <x v="27"/>
    <s v="Employee"/>
    <s v="6"/>
    <s v="ORCL IN OSSI"/>
    <s v="504526 - 96V:GSC-DB &amp; Options"/>
    <s v="09B4"/>
    <s v="Y"/>
    <s v="Y"/>
    <s v="Unrecognized"/>
    <n v="8"/>
    <s v="AED"/>
    <n v="109.21"/>
    <n v="754.44"/>
    <n v="873.7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218"/>
    <s v="3029669140628952"/>
    <s v="1.04.00"/>
    <s v="FP Labor - Remote Services Ctr"/>
    <s v="Labor"/>
    <s v="CO-C"/>
    <d v="2026-07-01T00:00:00"/>
    <x v="22"/>
    <x v="17"/>
    <s v="Employee"/>
    <s v="5"/>
    <s v="ORCL IN OSSI"/>
    <s v="504526 - 96V:GSC-DB &amp; Options"/>
    <s v="09B3"/>
    <s v="Y"/>
    <s v="Y"/>
    <s v="Unrecognized"/>
    <n v="6"/>
    <s v="AED"/>
    <n v="67.97"/>
    <n v="660.13"/>
    <n v="407.81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309337"/>
    <s v="3029673849389901"/>
    <s v="1.04.00"/>
    <s v="FP Labor - Remote Services Ctr"/>
    <s v="Labor"/>
    <s v="CO-C"/>
    <d v="2026-07-01T00:00:00"/>
    <x v="22"/>
    <x v="19"/>
    <s v="Employee"/>
    <s v="4"/>
    <s v="ORCL IN OSSI"/>
    <s v="504526 - 96V:GSC-DB &amp; Options"/>
    <s v="09B4"/>
    <s v="Y"/>
    <s v="Y"/>
    <s v="Unrecognized"/>
    <n v="6"/>
    <s v="AED"/>
    <n v="67.97"/>
    <n v="542.25"/>
    <n v="407.81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9590"/>
    <s v="3029671724183591"/>
    <s v="1.04.00"/>
    <s v="FP Labor - Remote Services Ctr"/>
    <s v="Labor"/>
    <s v="CO-C"/>
    <d v="2026-07-01T00:00:00"/>
    <x v="22"/>
    <x v="31"/>
    <s v="Employee"/>
    <s v="6"/>
    <s v="ORCL IN OSSI"/>
    <s v="504506 - 94V:GSC-eStudio"/>
    <s v="09B2"/>
    <s v="Y"/>
    <s v="Y"/>
    <s v="Unrecognized"/>
    <n v="6"/>
    <s v="AED"/>
    <n v="109.21"/>
    <n v="754.44"/>
    <n v="655.28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8933"/>
    <s v="3029671754137251"/>
    <s v="1.04.00"/>
    <s v="FP Labor - Remote Services Ctr"/>
    <s v="Labor"/>
    <s v="CO-C"/>
    <d v="2026-07-02T00:00:00"/>
    <x v="22"/>
    <x v="27"/>
    <s v="Employee"/>
    <s v="6"/>
    <s v="ORCL IN OSSI"/>
    <s v="504526 - 96V:GSC-DB &amp; Options"/>
    <s v="09B4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192"/>
    <s v="3029669140628982"/>
    <s v="1.04.00"/>
    <s v="FP Labor - Remote Services Ctr"/>
    <s v="Labor"/>
    <s v="CO-C"/>
    <d v="2026-07-02T00:00:00"/>
    <x v="22"/>
    <x v="17"/>
    <s v="Employee"/>
    <s v="5"/>
    <s v="ORCL IN OSSI"/>
    <s v="504526 - 96V:GSC-DB &amp; Options"/>
    <s v="09B3"/>
    <s v="Y"/>
    <s v="Y"/>
    <s v="Unrecognized"/>
    <n v="6"/>
    <s v="AED"/>
    <n v="67.97"/>
    <n v="660.13"/>
    <n v="407.81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309335"/>
    <s v="3029673849389931"/>
    <s v="1.04.00"/>
    <s v="FP Labor - Remote Services Ctr"/>
    <s v="Labor"/>
    <s v="CO-C"/>
    <d v="2026-07-02T00:00:00"/>
    <x v="22"/>
    <x v="19"/>
    <s v="Employee"/>
    <s v="4"/>
    <s v="ORCL IN OSSI"/>
    <s v="504526 - 96V:GSC-DB &amp; Options"/>
    <s v="09B4"/>
    <s v="Y"/>
    <s v="Y"/>
    <s v="Unrecognized"/>
    <n v="6"/>
    <s v="AED"/>
    <n v="67.97"/>
    <n v="542.25"/>
    <n v="407.81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9588"/>
    <s v="3029671724183621"/>
    <s v="1.04.00"/>
    <s v="FP Labor - Remote Services Ctr"/>
    <s v="Labor"/>
    <s v="CO-C"/>
    <d v="2026-07-02T00:00:00"/>
    <x v="22"/>
    <x v="31"/>
    <s v="Employee"/>
    <s v="6"/>
    <s v="ORCL IN OSSI"/>
    <s v="504506 - 94V:GSC-eStudio"/>
    <s v="09B2"/>
    <s v="Y"/>
    <s v="Y"/>
    <s v="Unrecognized"/>
    <n v="6"/>
    <s v="AED"/>
    <n v="109.21"/>
    <n v="754.44"/>
    <n v="655.28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164"/>
    <s v="3029669140629012"/>
    <s v="1.04.00"/>
    <s v="FP Labor - Remote Services Ctr"/>
    <s v="Labor"/>
    <s v="CO-C"/>
    <d v="2026-07-03T00:00:00"/>
    <x v="22"/>
    <x v="17"/>
    <s v="Employee"/>
    <s v="5"/>
    <s v="ORCL IN OSSI"/>
    <s v="504526 - 96V:GSC-DB &amp; Options"/>
    <s v="09B3"/>
    <s v="Y"/>
    <s v="Y"/>
    <s v="Unrecognized"/>
    <n v="4"/>
    <s v="AED"/>
    <n v="67.97"/>
    <n v="660.13"/>
    <n v="271.87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309334"/>
    <s v="3029673849389951"/>
    <s v="1.04.00"/>
    <s v="FP Labor - Remote Services Ctr"/>
    <s v="Labor"/>
    <s v="CO-C"/>
    <d v="2026-07-03T00:00:00"/>
    <x v="22"/>
    <x v="19"/>
    <s v="Employee"/>
    <s v="4"/>
    <s v="ORCL IN OSSI"/>
    <s v="504526 - 96V:GSC-DB &amp; Options"/>
    <s v="09B4"/>
    <s v="Y"/>
    <s v="Y"/>
    <s v="Unrecognized"/>
    <n v="4"/>
    <s v="AED"/>
    <n v="67.97"/>
    <n v="542.25"/>
    <n v="271.87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9586"/>
    <s v="3029671724183651"/>
    <s v="1.04.00"/>
    <s v="FP Labor - Remote Services Ctr"/>
    <s v="Labor"/>
    <s v="CO-C"/>
    <d v="2026-07-03T00:00:00"/>
    <x v="22"/>
    <x v="31"/>
    <s v="Employee"/>
    <s v="6"/>
    <s v="ORCL IN OSSI"/>
    <s v="504506 - 94V:GSC-eStudio"/>
    <s v="09B2"/>
    <s v="Y"/>
    <s v="Y"/>
    <s v="Unrecognized"/>
    <n v="6"/>
    <s v="AED"/>
    <n v="109.21"/>
    <n v="754.44"/>
    <n v="655.28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141"/>
    <s v="3029671757718391"/>
    <s v="1.04.00"/>
    <s v="FP Labor - Remote Services Ctr"/>
    <s v="Labor"/>
    <s v="CO-C"/>
    <d v="2026-07-04T00:00:00"/>
    <x v="23"/>
    <x v="17"/>
    <s v="Employee"/>
    <s v="5"/>
    <s v="ORCL IN OSSI"/>
    <s v="504526 - 96V:GSC-DB &amp; Options"/>
    <s v="09B3"/>
    <s v="Y"/>
    <s v="Y"/>
    <s v="Unrecognized"/>
    <n v="8"/>
    <s v="AED"/>
    <n v="67.97"/>
    <n v="660.13"/>
    <n v="543.74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243"/>
    <s v="3029677797503851"/>
    <s v="1.04.00"/>
    <s v="FP Labor - Remote Services Ctr"/>
    <s v="Labor"/>
    <s v="CO-C"/>
    <d v="2026-07-04T00:00:00"/>
    <x v="23"/>
    <x v="19"/>
    <s v="Employee"/>
    <s v="4"/>
    <s v="ORCL IN OSSI"/>
    <s v="504526 - 96V:GSC-DB &amp; Options"/>
    <s v="09B4"/>
    <s v="Y"/>
    <s v="Y"/>
    <s v="Unrecognized"/>
    <n v="8"/>
    <s v="AED"/>
    <n v="67.97"/>
    <n v="542.25"/>
    <n v="543.74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916"/>
    <s v="3029676338934841"/>
    <s v="1.04.00"/>
    <s v="FP Labor - Remote Services Ctr"/>
    <s v="Labor"/>
    <s v="CO-C"/>
    <d v="2026-07-05T00:00:00"/>
    <x v="23"/>
    <x v="31"/>
    <s v="Employee"/>
    <s v="6"/>
    <s v="ORCL IN OSSI"/>
    <s v="504506 - 94V:GSC-eStudio"/>
    <s v="09B2"/>
    <s v="Y"/>
    <s v="Y"/>
    <s v="Unrecognized"/>
    <n v="8"/>
    <s v="AED"/>
    <n v="109.21"/>
    <n v="754.44"/>
    <n v="873.7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8877"/>
    <s v="3029671753419801"/>
    <s v="1.04.00"/>
    <s v="FP Labor - Remote Services Ctr"/>
    <s v="Labor"/>
    <s v="CO-C"/>
    <d v="2026-07-06T00:00:00"/>
    <x v="23"/>
    <x v="27"/>
    <s v="Employee"/>
    <s v="6"/>
    <s v="ORCL IN OSSI"/>
    <s v="504526 - 96V:GSC-DB &amp; Options"/>
    <s v="09B4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110"/>
    <s v="3029671757718451"/>
    <s v="1.04.00"/>
    <s v="FP Labor - Remote Services Ctr"/>
    <s v="Labor"/>
    <s v="CO-C"/>
    <d v="2026-07-06T00:00:00"/>
    <x v="23"/>
    <x v="17"/>
    <s v="Employee"/>
    <s v="5"/>
    <s v="ORCL IN OSSI"/>
    <s v="504526 - 96V:GSC-DB &amp; Options"/>
    <s v="09B3"/>
    <s v="Y"/>
    <s v="Y"/>
    <s v="Unrecognized"/>
    <n v="6"/>
    <s v="AED"/>
    <n v="67.97"/>
    <n v="660.13"/>
    <n v="407.81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219"/>
    <s v="3029673854428962"/>
    <s v="1.04.00"/>
    <s v="FP Labor - Remote Services Ctr"/>
    <s v="Labor"/>
    <s v="CO-C"/>
    <d v="2026-07-06T00:00:00"/>
    <x v="23"/>
    <x v="19"/>
    <s v="Employee"/>
    <s v="4"/>
    <s v="ORCL IN OSSI"/>
    <s v="504526 - 96V:GSC-DB &amp; Options"/>
    <s v="09B4"/>
    <s v="Y"/>
    <s v="Y"/>
    <s v="Unrecognized"/>
    <n v="6"/>
    <s v="AED"/>
    <n v="67.97"/>
    <n v="542.25"/>
    <n v="407.81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855838"/>
    <s v="3029671380908941"/>
    <s v="1.04.00"/>
    <s v="FP Labor - Remote Services Ctr"/>
    <s v="Labor"/>
    <s v="CO-C"/>
    <d v="2026-07-06T00:00:00"/>
    <x v="23"/>
    <x v="3"/>
    <s v="Employee"/>
    <s v="6"/>
    <s v="ORCL IN OSSI"/>
    <s v="504506 - 94V:GSC-eStudio"/>
    <s v="09B4"/>
    <s v="Y"/>
    <s v="Y"/>
    <s v="Unrecognized"/>
    <n v="8"/>
    <s v="AED"/>
    <n v="109.21"/>
    <n v="754.44"/>
    <n v="873.7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913"/>
    <s v="3029671726365932"/>
    <s v="1.04.00"/>
    <s v="FP Labor - Remote Services Ctr"/>
    <s v="Labor"/>
    <s v="CO-C"/>
    <d v="2026-07-06T00:00:00"/>
    <x v="23"/>
    <x v="31"/>
    <s v="Employee"/>
    <s v="6"/>
    <s v="ORCL IN OSSI"/>
    <s v="504506 - 94V:GSC-eStudio"/>
    <s v="09B2"/>
    <s v="Y"/>
    <s v="Y"/>
    <s v="Unrecognized"/>
    <n v="4"/>
    <s v="AED"/>
    <n v="109.22"/>
    <n v="754.44"/>
    <n v="436.86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496"/>
    <s v="3029671757718481"/>
    <s v="1.04.00"/>
    <s v="FP Labor - Remote Services Ctr"/>
    <s v="Labor"/>
    <s v="CO-C"/>
    <d v="2026-07-07T00:00:00"/>
    <x v="23"/>
    <x v="17"/>
    <s v="Employee"/>
    <s v="5"/>
    <s v="ORCL IN OSSI"/>
    <s v="504526 - 96V:GSC-DB &amp; Options"/>
    <s v="09B3"/>
    <s v="Y"/>
    <s v="Y"/>
    <s v="Unrecognized"/>
    <n v="6"/>
    <s v="AED"/>
    <n v="67.97"/>
    <n v="660.13"/>
    <n v="407.81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215"/>
    <s v="3029673854428992"/>
    <s v="1.04.00"/>
    <s v="FP Labor - Remote Services Ctr"/>
    <s v="Labor"/>
    <s v="CO-C"/>
    <d v="2026-07-07T00:00:00"/>
    <x v="23"/>
    <x v="19"/>
    <s v="Employee"/>
    <s v="4"/>
    <s v="ORCL IN OSSI"/>
    <s v="504526 - 96V:GSC-DB &amp; Options"/>
    <s v="09B4"/>
    <s v="Y"/>
    <s v="Y"/>
    <s v="Unrecognized"/>
    <n v="6"/>
    <s v="AED"/>
    <n v="67.97"/>
    <n v="542.25"/>
    <n v="407.81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855837"/>
    <s v="3029671380908961"/>
    <s v="1.04.00"/>
    <s v="FP Labor - Remote Services Ctr"/>
    <s v="Labor"/>
    <s v="CO-C"/>
    <d v="2026-07-07T00:00:00"/>
    <x v="23"/>
    <x v="3"/>
    <s v="Employee"/>
    <s v="6"/>
    <s v="ORCL IN OSSI"/>
    <s v="504506 - 94V:GSC-eStudio"/>
    <s v="09B4"/>
    <s v="Y"/>
    <s v="Y"/>
    <s v="Unrecognized"/>
    <n v="8"/>
    <s v="AED"/>
    <n v="109.21"/>
    <n v="754.44"/>
    <n v="873.71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870"/>
    <s v="3029671726365962"/>
    <s v="1.04.00"/>
    <s v="FP Labor - Remote Services Ctr"/>
    <s v="Labor"/>
    <s v="CO-C"/>
    <d v="2026-07-07T00:00:00"/>
    <x v="23"/>
    <x v="31"/>
    <s v="Employee"/>
    <s v="6"/>
    <s v="ORCL IN OSSI"/>
    <s v="504506 - 94V:GSC-eStudio"/>
    <s v="09B2"/>
    <s v="Y"/>
    <s v="Y"/>
    <s v="Unrecognized"/>
    <n v="6"/>
    <s v="AED"/>
    <n v="109.21"/>
    <n v="754.44"/>
    <n v="655.28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598834"/>
    <s v="3029671753419841"/>
    <s v="1.04.00"/>
    <s v="FP Labor - Remote Services Ctr"/>
    <s v="Labor"/>
    <s v="CO-C"/>
    <d v="2026-07-08T00:00:00"/>
    <x v="23"/>
    <x v="27"/>
    <s v="Employee"/>
    <s v="6"/>
    <s v="ORCL IN OSSI"/>
    <s v="504526 - 96V:GSC-DB &amp; Options"/>
    <s v="09B4"/>
    <s v="Y"/>
    <s v="Y"/>
    <s v="Unrecognized"/>
    <n v="8"/>
    <s v="AED"/>
    <n v="108.64"/>
    <n v="754.44"/>
    <n v="869.0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00492"/>
    <s v="3029671757718511"/>
    <s v="1.04.00"/>
    <s v="FP Labor - Remote Services Ctr"/>
    <s v="Labor"/>
    <s v="CO-C"/>
    <d v="2026-07-08T00:00:00"/>
    <x v="23"/>
    <x v="17"/>
    <s v="Employee"/>
    <s v="5"/>
    <s v="ORCL IN OSSI"/>
    <s v="504526 - 96V:GSC-DB &amp; Options"/>
    <s v="09B3"/>
    <s v="Y"/>
    <s v="Y"/>
    <s v="Unrecognized"/>
    <n v="6"/>
    <s v="AED"/>
    <n v="67.61"/>
    <n v="660.13"/>
    <n v="405.65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194"/>
    <s v="3029673854429022"/>
    <s v="1.04.00"/>
    <s v="FP Labor - Remote Services Ctr"/>
    <s v="Labor"/>
    <s v="CO-C"/>
    <d v="2026-07-08T00:00:00"/>
    <x v="23"/>
    <x v="19"/>
    <s v="Employee"/>
    <s v="4"/>
    <s v="ORCL IN OSSI"/>
    <s v="504526 - 96V:GSC-DB &amp; Options"/>
    <s v="09B4"/>
    <s v="Y"/>
    <s v="Y"/>
    <s v="Unrecognized"/>
    <n v="6"/>
    <s v="AED"/>
    <n v="67.61"/>
    <n v="542.25"/>
    <n v="405.65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855836"/>
    <s v="3029671380908981"/>
    <s v="1.04.00"/>
    <s v="FP Labor - Remote Services Ctr"/>
    <s v="Labor"/>
    <s v="CO-C"/>
    <d v="2026-07-08T00:00:00"/>
    <x v="23"/>
    <x v="3"/>
    <s v="Employee"/>
    <s v="6"/>
    <s v="ORCL IN OSSI"/>
    <s v="504506 - 94V:GSC-eStudio"/>
    <s v="09B4"/>
    <s v="Y"/>
    <s v="Y"/>
    <s v="Unrecognized"/>
    <n v="8"/>
    <s v="AED"/>
    <n v="108.64"/>
    <n v="754.44"/>
    <n v="869.0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867"/>
    <s v="3029671726365992"/>
    <s v="1.04.00"/>
    <s v="FP Labor - Remote Services Ctr"/>
    <s v="Labor"/>
    <s v="CO-C"/>
    <d v="2026-07-08T00:00:00"/>
    <x v="23"/>
    <x v="31"/>
    <s v="Employee"/>
    <s v="6"/>
    <s v="ORCL IN OSSI"/>
    <s v="504506 - 94V:GSC-eStudio"/>
    <s v="09B2"/>
    <s v="Y"/>
    <s v="Y"/>
    <s v="Unrecognized"/>
    <n v="6"/>
    <s v="AED"/>
    <n v="108.64"/>
    <n v="754.44"/>
    <n v="651.82000000000005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32216"/>
    <s v="3029671753419861"/>
    <s v="1.04.00"/>
    <s v="FP Labor - Remote Services Ctr"/>
    <s v="Labor"/>
    <s v="CO-C"/>
    <d v="2026-07-09T00:00:00"/>
    <x v="23"/>
    <x v="27"/>
    <s v="Employee"/>
    <s v="6"/>
    <s v="ORCL IN OSSI"/>
    <s v="504526 - 96V:GSC-DB &amp; Options"/>
    <s v="09B4"/>
    <s v="Y"/>
    <s v="Y"/>
    <s v="Unrecognized"/>
    <n v="8"/>
    <s v="AED"/>
    <n v="107.97"/>
    <n v="754.44"/>
    <n v="863.7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633307"/>
    <s v="3029671757718541"/>
    <s v="1.04.00"/>
    <s v="FP Labor - Remote Services Ctr"/>
    <s v="Labor"/>
    <s v="CO-C"/>
    <d v="2026-07-09T00:00:00"/>
    <x v="23"/>
    <x v="17"/>
    <s v="Employee"/>
    <s v="5"/>
    <s v="ORCL IN OSSI"/>
    <s v="504526 - 96V:GSC-DB &amp; Options"/>
    <s v="09B3"/>
    <s v="Y"/>
    <s v="Y"/>
    <s v="Unrecognized"/>
    <n v="6"/>
    <s v="AED"/>
    <n v="67.19"/>
    <n v="660.13"/>
    <n v="403.16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190"/>
    <s v="3029673854429052"/>
    <s v="1.04.00"/>
    <s v="FP Labor - Remote Services Ctr"/>
    <s v="Labor"/>
    <s v="CO-C"/>
    <d v="2026-07-09T00:00:00"/>
    <x v="23"/>
    <x v="19"/>
    <s v="Employee"/>
    <s v="4"/>
    <s v="ORCL IN OSSI"/>
    <s v="504526 - 96V:GSC-DB &amp; Options"/>
    <s v="09B4"/>
    <s v="Y"/>
    <s v="Y"/>
    <s v="Unrecognized"/>
    <n v="6"/>
    <s v="AED"/>
    <n v="67.19"/>
    <n v="542.25"/>
    <n v="403.16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51284"/>
    <s v="3029671380909002"/>
    <s v="1.04.00"/>
    <s v="FP Labor - Remote Services Ctr"/>
    <s v="Labor"/>
    <s v="CO-C"/>
    <d v="2026-07-09T00:00:00"/>
    <x v="23"/>
    <x v="3"/>
    <s v="Employee"/>
    <s v="6"/>
    <s v="ORCL IN OSSI"/>
    <s v="504506 - 94V:GSC-eStudio"/>
    <s v="09B4"/>
    <s v="Y"/>
    <s v="Y"/>
    <s v="Unrecognized"/>
    <n v="4"/>
    <s v="AED"/>
    <n v="107.97"/>
    <n v="754.44"/>
    <n v="431.87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864"/>
    <s v="3029671726366022"/>
    <s v="1.04.00"/>
    <s v="FP Labor - Remote Services Ctr"/>
    <s v="Labor"/>
    <s v="CO-C"/>
    <d v="2026-07-09T00:00:00"/>
    <x v="23"/>
    <x v="31"/>
    <s v="Employee"/>
    <s v="6"/>
    <s v="ORCL IN OSSI"/>
    <s v="504506 - 94V:GSC-eStudio"/>
    <s v="09B2"/>
    <s v="Y"/>
    <s v="Y"/>
    <s v="Unrecognized"/>
    <n v="6"/>
    <s v="AED"/>
    <n v="107.97"/>
    <n v="754.44"/>
    <n v="647.80999999999995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756594"/>
    <s v="3029671753419881"/>
    <s v="1.04.00"/>
    <s v="FP Labor - Remote Services Ctr"/>
    <s v="Labor"/>
    <s v="CO-C"/>
    <d v="2026-07-10T00:00:00"/>
    <x v="23"/>
    <x v="27"/>
    <s v="Employee"/>
    <s v="6"/>
    <s v="ORCL IN OSSI"/>
    <s v="504526 - 96V:GSC-DB &amp; Options"/>
    <s v="09B4"/>
    <s v="Y"/>
    <s v="Y"/>
    <s v="Unrecognized"/>
    <n v="8"/>
    <s v="AED"/>
    <n v="107.97"/>
    <n v="754.44"/>
    <n v="863.74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4756282"/>
    <s v="3029671757718571"/>
    <s v="1.04.00"/>
    <s v="FP Labor - Remote Services Ctr"/>
    <s v="Labor"/>
    <s v="CO-C"/>
    <d v="2026-07-10T00:00:00"/>
    <x v="23"/>
    <x v="17"/>
    <s v="Employee"/>
    <s v="5"/>
    <s v="ORCL IN OSSI"/>
    <s v="504526 - 96V:GSC-DB &amp; Options"/>
    <s v="09B3"/>
    <s v="Y"/>
    <s v="Y"/>
    <s v="Unrecognized"/>
    <n v="4"/>
    <s v="AED"/>
    <n v="67.19"/>
    <n v="660.13"/>
    <n v="268.77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186"/>
    <s v="3029673854429082"/>
    <s v="1.04.00"/>
    <s v="FP Labor - Remote Services Ctr"/>
    <s v="Labor"/>
    <s v="CO-C"/>
    <d v="2026-07-10T00:00:00"/>
    <x v="23"/>
    <x v="19"/>
    <s v="Employee"/>
    <s v="4"/>
    <s v="ORCL IN OSSI"/>
    <s v="504526 - 96V:GSC-DB &amp; Options"/>
    <s v="09B4"/>
    <s v="Y"/>
    <s v="Y"/>
    <s v="Unrecognized"/>
    <n v="4"/>
    <s v="AED"/>
    <n v="67.19"/>
    <n v="542.25"/>
    <n v="268.77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51282"/>
    <s v="3029671380909022"/>
    <s v="1.04.00"/>
    <s v="FP Labor - Remote Services Ctr"/>
    <s v="Labor"/>
    <s v="CO-C"/>
    <d v="2026-07-10T00:00:00"/>
    <x v="23"/>
    <x v="3"/>
    <s v="Employee"/>
    <s v="6"/>
    <s v="ORCL IN OSSI"/>
    <s v="504506 - 94V:GSC-eStudio"/>
    <s v="09B4"/>
    <s v="Y"/>
    <s v="Y"/>
    <s v="Unrecognized"/>
    <n v="4"/>
    <s v="AED"/>
    <n v="107.97"/>
    <n v="754.44"/>
    <n v="431.87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820"/>
    <s v="3029671726366052"/>
    <s v="1.04.00"/>
    <s v="FP Labor - Remote Services Ctr"/>
    <s v="Labor"/>
    <s v="CO-C"/>
    <d v="2026-07-10T00:00:00"/>
    <x v="23"/>
    <x v="31"/>
    <s v="Employee"/>
    <s v="6"/>
    <s v="ORCL IN OSSI"/>
    <s v="504506 - 94V:GSC-eStudio"/>
    <s v="09B2"/>
    <s v="Y"/>
    <s v="Y"/>
    <s v="Unrecognized"/>
    <n v="6"/>
    <s v="AED"/>
    <n v="107.97"/>
    <n v="754.44"/>
    <n v="647.80999999999995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56"/>
    <s v="3029674596093092"/>
    <s v="1.04.00"/>
    <s v="FP Labor - Remote Services Ctr"/>
    <s v="Labor"/>
    <s v="CO-C"/>
    <d v="2026-07-11T00:00:00"/>
    <x v="24"/>
    <x v="27"/>
    <s v="Employee"/>
    <s v="6"/>
    <s v="ORCL IN OSSI"/>
    <s v="504526 - 96V:GSC-DB &amp; Options"/>
    <s v="09B4"/>
    <s v="Y"/>
    <s v="Y"/>
    <s v="Unrecognized"/>
    <n v="8"/>
    <s v="AED"/>
    <n v="108.23"/>
    <n v="754.44"/>
    <n v="865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874219"/>
    <s v="3029674090217872"/>
    <s v="1.04.00"/>
    <s v="FP Labor - Remote Services Ctr"/>
    <s v="Labor"/>
    <s v="CO-C"/>
    <d v="2026-07-11T00:00:00"/>
    <x v="24"/>
    <x v="17"/>
    <s v="Employee"/>
    <s v="5"/>
    <s v="ORCL IN OSSI"/>
    <s v="504526 - 96V:GSC-DB &amp; Options"/>
    <s v="09B3"/>
    <s v="Y"/>
    <s v="Y"/>
    <s v="Unrecognized"/>
    <n v="8"/>
    <s v="AED"/>
    <n v="67.36"/>
    <n v="660.13"/>
    <n v="538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29"/>
    <s v="3029673855713772"/>
    <s v="1.04.00"/>
    <s v="FP Labor - Remote Services Ctr"/>
    <s v="Labor"/>
    <s v="CO-C"/>
    <d v="2026-07-11T00:00:00"/>
    <x v="24"/>
    <x v="19"/>
    <s v="Employee"/>
    <s v="4"/>
    <s v="ORCL IN OSSI"/>
    <s v="504526 - 96V:GSC-DB &amp; Options"/>
    <s v="09B4"/>
    <s v="Y"/>
    <s v="Y"/>
    <s v="Unrecognized"/>
    <n v="8"/>
    <s v="AED"/>
    <n v="67.36"/>
    <n v="542.25"/>
    <n v="538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018"/>
    <s v="3029676334540621"/>
    <s v="1.04.00"/>
    <s v="FP Labor - Remote Services Ctr"/>
    <s v="Labor"/>
    <s v="CO-C"/>
    <d v="2026-07-11T00:00:00"/>
    <x v="24"/>
    <x v="31"/>
    <s v="Employee"/>
    <s v="6"/>
    <s v="ORCL IN OSSI"/>
    <s v="504506 - 94V:GSC-eStudio"/>
    <s v="09B2"/>
    <s v="Y"/>
    <s v="Y"/>
    <s v="Unrecognized"/>
    <n v="8"/>
    <s v="AED"/>
    <n v="108.23"/>
    <n v="754.44"/>
    <n v="865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54"/>
    <s v="3029674596093122"/>
    <s v="1.04.00"/>
    <s v="FP Labor - Remote Services Ctr"/>
    <s v="Labor"/>
    <s v="CO-C"/>
    <d v="2026-07-12T00:00:00"/>
    <x v="24"/>
    <x v="27"/>
    <s v="Employee"/>
    <s v="6"/>
    <s v="ORCL IN OSSI"/>
    <s v="504526 - 96V:GSC-DB &amp; Options"/>
    <s v="09B4"/>
    <s v="Y"/>
    <s v="Y"/>
    <s v="Unrecognized"/>
    <n v="8"/>
    <s v="AED"/>
    <n v="108.23"/>
    <n v="754.44"/>
    <n v="865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874217"/>
    <s v="3029674090217902"/>
    <s v="1.04.00"/>
    <s v="FP Labor - Remote Services Ctr"/>
    <s v="Labor"/>
    <s v="CO-C"/>
    <d v="2026-07-12T00:00:00"/>
    <x v="24"/>
    <x v="17"/>
    <s v="Employee"/>
    <s v="5"/>
    <s v="ORCL IN OSSI"/>
    <s v="504526 - 96V:GSC-DB &amp; Options"/>
    <s v="09B3"/>
    <s v="Y"/>
    <s v="Y"/>
    <s v="Unrecognized"/>
    <n v="8"/>
    <s v="AED"/>
    <n v="67.36"/>
    <n v="660.13"/>
    <n v="538.8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26"/>
    <s v="3029675984153761"/>
    <s v="1.04.00"/>
    <s v="FP Labor - Remote Services Ctr"/>
    <s v="Labor"/>
    <s v="CO-C"/>
    <d v="2026-07-12T00:00:00"/>
    <x v="24"/>
    <x v="19"/>
    <s v="Employee"/>
    <s v="4"/>
    <s v="ORCL IN OSSI"/>
    <s v="504526 - 96V:GSC-DB &amp; Options"/>
    <s v="09B4"/>
    <s v="Y"/>
    <s v="Y"/>
    <s v="Unrecognized"/>
    <n v="8"/>
    <s v="AED"/>
    <n v="67.36"/>
    <n v="542.25"/>
    <n v="538.8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016"/>
    <s v="3029676334540651"/>
    <s v="1.04.00"/>
    <s v="FP Labor - Remote Services Ctr"/>
    <s v="Labor"/>
    <s v="CO-C"/>
    <d v="2026-07-12T00:00:00"/>
    <x v="24"/>
    <x v="31"/>
    <s v="Employee"/>
    <s v="6"/>
    <s v="ORCL IN OSSI"/>
    <s v="504506 - 94V:GSC-eStudio"/>
    <s v="09B2"/>
    <s v="Y"/>
    <s v="Y"/>
    <s v="Unrecognized"/>
    <n v="8"/>
    <s v="AED"/>
    <n v="108.23"/>
    <n v="754.44"/>
    <n v="865.8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52"/>
    <s v="3029674596093152"/>
    <s v="1.04.00"/>
    <s v="FP Labor - Remote Services Ctr"/>
    <s v="Labor"/>
    <s v="CO-C"/>
    <d v="2026-07-13T00:00:00"/>
    <x v="24"/>
    <x v="27"/>
    <s v="Employee"/>
    <s v="6"/>
    <s v="ORCL IN OSSI"/>
    <s v="504526 - 96V:GSC-DB &amp; Options"/>
    <s v="09B4"/>
    <s v="Y"/>
    <s v="Y"/>
    <s v="Unrecognized"/>
    <n v="2"/>
    <s v="AED"/>
    <n v="108.23"/>
    <n v="754.44"/>
    <n v="216.46"/>
    <n v="0"/>
    <n v="1508.8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83497"/>
    <s v="3029674090217932"/>
    <s v="1.04.00"/>
    <s v="FP Labor - Remote Services Ctr"/>
    <s v="Labor"/>
    <s v="CO-C"/>
    <d v="2026-07-13T00:00:00"/>
    <x v="24"/>
    <x v="17"/>
    <s v="Employee"/>
    <s v="5"/>
    <s v="ORCL IN OSSI"/>
    <s v="504526 - 96V:GSC-DB &amp; Options"/>
    <s v="09B3"/>
    <s v="Y"/>
    <s v="Y"/>
    <s v="Unrecognized"/>
    <n v="2"/>
    <s v="AED"/>
    <n v="67.36"/>
    <n v="660.13"/>
    <n v="134.71"/>
    <n v="0"/>
    <n v="1320.2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25"/>
    <s v="3029673855713815"/>
    <s v="1.04.00"/>
    <s v="FP Labor - Remote Services Ctr"/>
    <s v="Labor"/>
    <s v="CO-C"/>
    <d v="2026-07-13T00:00:00"/>
    <x v="24"/>
    <x v="19"/>
    <s v="Employee"/>
    <s v="4"/>
    <s v="ORCL IN OSSI"/>
    <s v="504526 - 96V:GSC-DB &amp; Options"/>
    <s v="09B4"/>
    <s v="Y"/>
    <s v="Y"/>
    <s v="Unrecognized"/>
    <n v="2"/>
    <s v="AED"/>
    <n v="67.36"/>
    <n v="542.25"/>
    <n v="134.71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239081"/>
    <s v="3029673773461091"/>
    <s v="1.04.00"/>
    <s v="FP Labor - Remote Services Ctr"/>
    <s v="Labor"/>
    <s v="CO-C"/>
    <d v="2026-07-13T00:00:00"/>
    <x v="24"/>
    <x v="3"/>
    <s v="Employee"/>
    <s v="6"/>
    <s v="ORCL IN OSSI"/>
    <s v="504506 - 94V:GSC-eStudio"/>
    <s v="09B4"/>
    <s v="Y"/>
    <s v="Y"/>
    <s v="Unrecognized"/>
    <n v="4"/>
    <s v="AED"/>
    <n v="108.23"/>
    <n v="754.44"/>
    <n v="432.93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015"/>
    <s v="3029671726380762"/>
    <s v="1.04.00"/>
    <s v="FP Labor - Remote Services Ctr"/>
    <s v="Labor"/>
    <s v="CO-C"/>
    <d v="2026-07-13T00:00:00"/>
    <x v="24"/>
    <x v="31"/>
    <s v="Employee"/>
    <s v="6"/>
    <s v="ORCL IN OSSI"/>
    <s v="504506 - 94V:GSC-eStudio"/>
    <s v="09B2"/>
    <s v="Y"/>
    <s v="Y"/>
    <s v="Unrecognized"/>
    <n v="4"/>
    <s v="AED"/>
    <n v="108.23"/>
    <n v="754.44"/>
    <n v="432.93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50"/>
    <s v="3029674596093182"/>
    <s v="1.04.00"/>
    <s v="FP Labor - Remote Services Ctr"/>
    <s v="Labor"/>
    <s v="CO-C"/>
    <d v="2026-07-14T00:00:00"/>
    <x v="24"/>
    <x v="27"/>
    <s v="Employee"/>
    <s v="6"/>
    <s v="ORCL IN OSSI"/>
    <s v="504526 - 96V:GSC-DB &amp; Options"/>
    <s v="09B4"/>
    <s v="Y"/>
    <s v="Y"/>
    <s v="Unrecognized"/>
    <n v="8"/>
    <s v="AED"/>
    <n v="107.89"/>
    <n v="754.44"/>
    <n v="863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83456"/>
    <s v="3029674090217963"/>
    <s v="1.04.00"/>
    <s v="FP Labor - Remote Services Ctr"/>
    <s v="Labor"/>
    <s v="CO-C"/>
    <d v="2026-07-14T00:00:00"/>
    <x v="24"/>
    <x v="17"/>
    <s v="Employee"/>
    <s v="5"/>
    <s v="ORCL IN OSSI"/>
    <s v="504526 - 96V:GSC-DB &amp; Options"/>
    <s v="09B3"/>
    <s v="Y"/>
    <s v="Y"/>
    <s v="Unrecognized"/>
    <n v="8"/>
    <s v="AED"/>
    <n v="67.150000000000006"/>
    <n v="660.13"/>
    <n v="537.16999999999996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23"/>
    <s v="3029673855713845"/>
    <s v="1.04.00"/>
    <s v="FP Labor - Remote Services Ctr"/>
    <s v="Labor"/>
    <s v="CO-C"/>
    <d v="2026-07-14T00:00:00"/>
    <x v="24"/>
    <x v="19"/>
    <s v="Employee"/>
    <s v="4"/>
    <s v="ORCL IN OSSI"/>
    <s v="504526 - 96V:GSC-DB &amp; Options"/>
    <s v="09B4"/>
    <s v="Y"/>
    <s v="Y"/>
    <s v="Unrecognized"/>
    <n v="8"/>
    <s v="AED"/>
    <n v="67.150000000000006"/>
    <n v="542.25"/>
    <n v="537.169999999999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239080"/>
    <s v="3029673773461111"/>
    <s v="1.04.00"/>
    <s v="FP Labor - Remote Services Ctr"/>
    <s v="Labor"/>
    <s v="CO-C"/>
    <d v="2026-07-14T00:00:00"/>
    <x v="24"/>
    <x v="3"/>
    <s v="Employee"/>
    <s v="6"/>
    <s v="ORCL IN OSSI"/>
    <s v="504506 - 94V:GSC-eStudio"/>
    <s v="09B4"/>
    <s v="Y"/>
    <s v="Y"/>
    <s v="Unrecognized"/>
    <n v="8"/>
    <s v="AED"/>
    <n v="107.89"/>
    <n v="754.44"/>
    <n v="863.15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659456"/>
    <s v="3029671729400793"/>
    <s v="1.04.00"/>
    <s v="FP Labor - Remote Services Ctr"/>
    <s v="Labor"/>
    <s v="CO-C"/>
    <d v="2026-07-14T00:00:00"/>
    <x v="24"/>
    <x v="31"/>
    <s v="Employee"/>
    <s v="6"/>
    <s v="ORCL IN OSSI"/>
    <s v="504506 - 94V:GSC-eStudio"/>
    <s v="09B2"/>
    <s v="Y"/>
    <s v="Y"/>
    <s v="Unrecognized"/>
    <n v="6"/>
    <s v="AED"/>
    <n v="107.89"/>
    <n v="754.44"/>
    <n v="647.36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009"/>
    <s v="3029674596093212"/>
    <s v="1.04.00"/>
    <s v="FP Labor - Remote Services Ctr"/>
    <s v="Labor"/>
    <s v="CO-C"/>
    <d v="2026-07-15T00:00:00"/>
    <x v="24"/>
    <x v="27"/>
    <s v="Employee"/>
    <s v="6"/>
    <s v="ORCL IN OSSI"/>
    <s v="504526 - 96V:GSC-DB &amp; Options"/>
    <s v="09B4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83452"/>
    <s v="3029674090217995"/>
    <s v="1.04.00"/>
    <s v="FP Labor - Remote Services Ctr"/>
    <s v="Labor"/>
    <s v="CO-C"/>
    <d v="2026-07-15T00:00:00"/>
    <x v="24"/>
    <x v="17"/>
    <s v="Employee"/>
    <s v="5"/>
    <s v="ORCL IN OSSI"/>
    <s v="504526 - 96V:GSC-DB &amp; Options"/>
    <s v="09B3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0983"/>
    <s v="3029673855713873"/>
    <s v="1.04.00"/>
    <s v="FP Labor - Remote Services Ctr"/>
    <s v="Labor"/>
    <s v="CO-C"/>
    <d v="2026-07-15T00:00:00"/>
    <x v="24"/>
    <x v="19"/>
    <s v="Employee"/>
    <s v="4"/>
    <s v="ORCL IN OSSI"/>
    <s v="504526 - 96V:GSC-DB &amp; Options"/>
    <s v="09B4"/>
    <s v="Y"/>
    <s v="Y"/>
    <s v="Unrecognized"/>
    <n v="8"/>
    <s v="AED"/>
    <n v="66.739999999999995"/>
    <n v="542.25"/>
    <n v="533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239079"/>
    <s v="3029673773461131"/>
    <s v="1.04.00"/>
    <s v="FP Labor - Remote Services Ctr"/>
    <s v="Labor"/>
    <s v="CO-C"/>
    <d v="2026-07-15T00:00:00"/>
    <x v="24"/>
    <x v="3"/>
    <s v="Employee"/>
    <s v="6"/>
    <s v="ORCL IN OSSI"/>
    <s v="504506 - 94V:GSC-eStudio"/>
    <s v="09B4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971"/>
    <s v="3029671729400822"/>
    <s v="1.04.00"/>
    <s v="FP Labor - Remote Services Ctr"/>
    <s v="Labor"/>
    <s v="CO-C"/>
    <d v="2026-07-15T00:00:00"/>
    <x v="24"/>
    <x v="31"/>
    <s v="Employee"/>
    <s v="6"/>
    <s v="ORCL IN OSSI"/>
    <s v="504506 - 94V:GSC-eStudio"/>
    <s v="09B2"/>
    <s v="Y"/>
    <s v="Y"/>
    <s v="Unrecognized"/>
    <n v="6"/>
    <s v="AED"/>
    <n v="107.25"/>
    <n v="754.44"/>
    <n v="643.47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0968"/>
    <s v="3029674596093242"/>
    <s v="1.04.00"/>
    <s v="FP Labor - Remote Services Ctr"/>
    <s v="Labor"/>
    <s v="CO-C"/>
    <d v="2026-07-16T00:00:00"/>
    <x v="24"/>
    <x v="27"/>
    <s v="Employee"/>
    <s v="6"/>
    <s v="ORCL IN OSSI"/>
    <s v="504526 - 96V:GSC-DB &amp; Options"/>
    <s v="09B4"/>
    <s v="Y"/>
    <s v="Y"/>
    <s v="Unrecognized"/>
    <n v="2"/>
    <s v="AED"/>
    <n v="107.25"/>
    <n v="754.44"/>
    <n v="214.49"/>
    <n v="0"/>
    <n v="1508.8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83409"/>
    <s v="3029674090218022"/>
    <s v="1.04.00"/>
    <s v="FP Labor - Remote Services Ctr"/>
    <s v="Labor"/>
    <s v="CO-C"/>
    <d v="2026-07-16T00:00:00"/>
    <x v="24"/>
    <x v="17"/>
    <s v="Employee"/>
    <s v="5"/>
    <s v="ORCL IN OSSI"/>
    <s v="504526 - 96V:GSC-DB &amp; Options"/>
    <s v="09B3"/>
    <s v="Y"/>
    <s v="Y"/>
    <s v="Unrecognized"/>
    <n v="2"/>
    <s v="AED"/>
    <n v="66.75"/>
    <n v="660.13"/>
    <n v="133.49"/>
    <n v="0"/>
    <n v="1320.2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0979"/>
    <s v="3029673855713904"/>
    <s v="1.04.00"/>
    <s v="FP Labor - Remote Services Ctr"/>
    <s v="Labor"/>
    <s v="CO-C"/>
    <d v="2026-07-16T00:00:00"/>
    <x v="24"/>
    <x v="19"/>
    <s v="Employee"/>
    <s v="4"/>
    <s v="ORCL IN OSSI"/>
    <s v="504526 - 96V:GSC-DB &amp; Options"/>
    <s v="09B4"/>
    <s v="Y"/>
    <s v="Y"/>
    <s v="Unrecognized"/>
    <n v="2"/>
    <s v="AED"/>
    <n v="66.75"/>
    <n v="542.25"/>
    <n v="133.49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352710"/>
    <s v="3029673773461151"/>
    <s v="1.04.00"/>
    <s v="FP Labor - Remote Services Ctr"/>
    <s v="Labor"/>
    <s v="CO-C"/>
    <d v="2026-07-16T00:00:00"/>
    <x v="24"/>
    <x v="3"/>
    <s v="Employee"/>
    <s v="6"/>
    <s v="ORCL IN OSSI"/>
    <s v="504506 - 94V:GSC-eStudio"/>
    <s v="09B4"/>
    <s v="Y"/>
    <s v="Y"/>
    <s v="Unrecognized"/>
    <n v="4"/>
    <s v="AED"/>
    <n v="107.25"/>
    <n v="754.44"/>
    <n v="428.98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065"/>
    <s v="3029671729400852"/>
    <s v="1.04.00"/>
    <s v="FP Labor - Remote Services Ctr"/>
    <s v="Labor"/>
    <s v="CO-C"/>
    <d v="2026-07-16T00:00:00"/>
    <x v="24"/>
    <x v="31"/>
    <s v="Employee"/>
    <s v="6"/>
    <s v="ORCL IN OSSI"/>
    <s v="504506 - 94V:GSC-eStudio"/>
    <s v="09B2"/>
    <s v="Y"/>
    <s v="Y"/>
    <s v="Unrecognized"/>
    <n v="6"/>
    <s v="AED"/>
    <n v="107.25"/>
    <n v="754.44"/>
    <n v="643.47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0964"/>
    <s v="3029674596093272"/>
    <s v="1.04.00"/>
    <s v="FP Labor - Remote Services Ctr"/>
    <s v="Labor"/>
    <s v="CO-C"/>
    <d v="2026-07-17T00:00:00"/>
    <x v="24"/>
    <x v="27"/>
    <s v="Employee"/>
    <s v="6"/>
    <s v="ORCL IN OSSI"/>
    <s v="504526 - 96V:GSC-DB &amp; Options"/>
    <s v="09B4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1134"/>
    <s v="3029674090218052"/>
    <s v="1.04.00"/>
    <s v="FP Labor - Remote Services Ctr"/>
    <s v="Labor"/>
    <s v="CO-C"/>
    <d v="2026-07-17T00:00:00"/>
    <x v="24"/>
    <x v="17"/>
    <s v="Employee"/>
    <s v="5"/>
    <s v="ORCL IN OSSI"/>
    <s v="504526 - 96V:GSC-DB &amp; Options"/>
    <s v="09B3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990939"/>
    <s v="3029673855713934"/>
    <s v="1.04.00"/>
    <s v="FP Labor - Remote Services Ctr"/>
    <s v="Labor"/>
    <s v="CO-C"/>
    <d v="2026-07-17T00:00:00"/>
    <x v="24"/>
    <x v="19"/>
    <s v="Employee"/>
    <s v="4"/>
    <s v="ORCL IN OSSI"/>
    <s v="504526 - 96V:GSC-DB &amp; Options"/>
    <s v="09B4"/>
    <s v="Y"/>
    <s v="Y"/>
    <s v="Unrecognized"/>
    <n v="8"/>
    <s v="AED"/>
    <n v="66.739999999999995"/>
    <n v="542.25"/>
    <n v="533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497389"/>
    <s v="3029673773461171"/>
    <s v="1.04.00"/>
    <s v="FP Labor - Remote Services Ctr"/>
    <s v="Labor"/>
    <s v="CO-C"/>
    <d v="2026-07-17T00:00:00"/>
    <x v="24"/>
    <x v="3"/>
    <s v="Employee"/>
    <s v="6"/>
    <s v="ORCL IN OSSI"/>
    <s v="504506 - 94V:GSC-eStudio"/>
    <s v="09B4"/>
    <s v="Y"/>
    <s v="Y"/>
    <s v="Unrecognized"/>
    <n v="4"/>
    <s v="AED"/>
    <n v="107.25"/>
    <n v="754.44"/>
    <n v="428.98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061"/>
    <s v="3029671729400882"/>
    <s v="1.04.00"/>
    <s v="FP Labor - Remote Services Ctr"/>
    <s v="Labor"/>
    <s v="CO-C"/>
    <d v="2026-07-17T00:00:00"/>
    <x v="24"/>
    <x v="31"/>
    <s v="Employee"/>
    <s v="6"/>
    <s v="ORCL IN OSSI"/>
    <s v="504506 - 94V:GSC-eStudio"/>
    <s v="09B2"/>
    <s v="Y"/>
    <s v="Y"/>
    <s v="Unrecognized"/>
    <n v="6"/>
    <s v="AED"/>
    <n v="107.25"/>
    <n v="754.44"/>
    <n v="643.47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42"/>
    <s v="3029676333946721"/>
    <s v="1.04.00"/>
    <s v="FP Labor - Remote Services Ctr"/>
    <s v="Labor"/>
    <s v="CO-C"/>
    <d v="2026-07-18T00:00:00"/>
    <x v="25"/>
    <x v="27"/>
    <s v="Employee"/>
    <s v="6"/>
    <s v="ORCL IN OSSI"/>
    <s v="504526 - 96V:GSC-DB &amp; Options"/>
    <s v="09B4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866329"/>
    <s v="3029675425212601"/>
    <s v="1.04.00"/>
    <s v="FP Labor - Remote Services Ctr"/>
    <s v="Labor"/>
    <s v="CO-C"/>
    <d v="2026-07-18T00:00:00"/>
    <x v="25"/>
    <x v="17"/>
    <s v="Employee"/>
    <s v="5"/>
    <s v="ORCL IN OSSI"/>
    <s v="504526 - 96V:GSC-DB &amp; Options"/>
    <s v="09B3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60"/>
    <s v="3029676340161441"/>
    <s v="1.04.00"/>
    <s v="FP Labor - Remote Services Ctr"/>
    <s v="Labor"/>
    <s v="CO-C"/>
    <d v="2026-07-18T00:00:00"/>
    <x v="25"/>
    <x v="19"/>
    <s v="Employee"/>
    <s v="4"/>
    <s v="ORCL IN OSSI"/>
    <s v="504526 - 96V:GSC-DB &amp; Options"/>
    <s v="09B4"/>
    <s v="Y"/>
    <s v="Y"/>
    <s v="Unrecognized"/>
    <n v="8"/>
    <s v="AED"/>
    <n v="66.739999999999995"/>
    <n v="542.25"/>
    <n v="533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350"/>
    <s v="3029676337580571"/>
    <s v="1.04.00"/>
    <s v="FP Labor - Remote Services Ctr"/>
    <s v="Labor"/>
    <s v="CO-C"/>
    <d v="2026-07-18T00:00:00"/>
    <x v="25"/>
    <x v="31"/>
    <s v="Employee"/>
    <s v="6"/>
    <s v="ORCL IN OSSI"/>
    <s v="504506 - 94V:GSC-eStudio"/>
    <s v="09B2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40"/>
    <s v="3029676333946751"/>
    <s v="1.04.00"/>
    <s v="FP Labor - Remote Services Ctr"/>
    <s v="Labor"/>
    <s v="CO-C"/>
    <d v="2026-07-19T00:00:00"/>
    <x v="25"/>
    <x v="27"/>
    <s v="Employee"/>
    <s v="6"/>
    <s v="ORCL IN OSSI"/>
    <s v="504526 - 96V:GSC-DB &amp; Options"/>
    <s v="09B4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5866327"/>
    <s v="3029675425212631"/>
    <s v="1.04.00"/>
    <s v="FP Labor - Remote Services Ctr"/>
    <s v="Labor"/>
    <s v="CO-C"/>
    <d v="2026-07-19T00:00:00"/>
    <x v="25"/>
    <x v="17"/>
    <s v="Employee"/>
    <s v="5"/>
    <s v="ORCL IN OSSI"/>
    <s v="504526 - 96V:GSC-DB &amp; Options"/>
    <s v="09B3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58"/>
    <s v="3029676340161471"/>
    <s v="1.04.00"/>
    <s v="FP Labor - Remote Services Ctr"/>
    <s v="Labor"/>
    <s v="CO-C"/>
    <d v="2026-07-19T00:00:00"/>
    <x v="25"/>
    <x v="19"/>
    <s v="Employee"/>
    <s v="4"/>
    <s v="ORCL IN OSSI"/>
    <s v="504526 - 96V:GSC-DB &amp; Options"/>
    <s v="09B4"/>
    <s v="Y"/>
    <s v="Y"/>
    <s v="Unrecognized"/>
    <n v="8"/>
    <s v="AED"/>
    <n v="66.739999999999995"/>
    <n v="542.25"/>
    <n v="533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348"/>
    <s v="3029676337580601"/>
    <s v="1.04.00"/>
    <s v="FP Labor - Remote Services Ctr"/>
    <s v="Labor"/>
    <s v="CO-C"/>
    <d v="2026-07-19T00:00:00"/>
    <x v="25"/>
    <x v="31"/>
    <s v="Employee"/>
    <s v="6"/>
    <s v="ORCL IN OSSI"/>
    <s v="504506 - 94V:GSC-eStudio"/>
    <s v="09B2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08"/>
    <s v="3029676333946781"/>
    <s v="1.04.00"/>
    <s v="FP Labor - Remote Services Ctr"/>
    <s v="Labor"/>
    <s v="CO-C"/>
    <d v="2026-07-20T00:00:00"/>
    <x v="25"/>
    <x v="27"/>
    <s v="Employee"/>
    <s v="6"/>
    <s v="ORCL IN OSSI"/>
    <s v="504526 - 96V:GSC-DB &amp; Options"/>
    <s v="09B4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621"/>
    <s v="3029675425212662"/>
    <s v="1.04.00"/>
    <s v="FP Labor - Remote Services Ctr"/>
    <s v="Labor"/>
    <s v="CO-C"/>
    <d v="2026-07-20T00:00:00"/>
    <x v="25"/>
    <x v="17"/>
    <s v="Employee"/>
    <s v="5"/>
    <s v="ORCL IN OSSI"/>
    <s v="504526 - 96V:GSC-DB &amp; Options"/>
    <s v="09B3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56"/>
    <s v="3029676340161501"/>
    <s v="1.04.00"/>
    <s v="FP Labor - Remote Services Ctr"/>
    <s v="Labor"/>
    <s v="CO-C"/>
    <d v="2026-07-20T00:00:00"/>
    <x v="25"/>
    <x v="19"/>
    <s v="Employee"/>
    <s v="4"/>
    <s v="ORCL IN OSSI"/>
    <s v="504526 - 96V:GSC-DB &amp; Options"/>
    <s v="09B4"/>
    <s v="Y"/>
    <s v="Y"/>
    <s v="Unrecognized"/>
    <n v="8"/>
    <s v="AED"/>
    <n v="66.739999999999995"/>
    <n v="542.25"/>
    <n v="533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296"/>
    <s v="3029671731819822"/>
    <s v="1.04.00"/>
    <s v="FP Labor - Remote Services Ctr"/>
    <s v="Labor"/>
    <s v="CO-C"/>
    <d v="2026-07-20T00:00:00"/>
    <x v="25"/>
    <x v="31"/>
    <s v="Employee"/>
    <s v="6"/>
    <s v="ORCL IN OSSI"/>
    <s v="504506 - 94V:GSC-eStudio"/>
    <s v="09B2"/>
    <s v="Y"/>
    <s v="Y"/>
    <s v="Unrecognized"/>
    <n v="4"/>
    <s v="AED"/>
    <n v="107.25"/>
    <n v="754.44"/>
    <n v="428.98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06"/>
    <s v="3029676333946811"/>
    <s v="1.04.00"/>
    <s v="FP Labor - Remote Services Ctr"/>
    <s v="Labor"/>
    <s v="CO-C"/>
    <d v="2026-07-21T00:00:00"/>
    <x v="25"/>
    <x v="27"/>
    <s v="Employee"/>
    <s v="6"/>
    <s v="ORCL IN OSSI"/>
    <s v="504526 - 96V:GSC-DB &amp; Options"/>
    <s v="09B4"/>
    <s v="Y"/>
    <s v="Y"/>
    <s v="Unrecognized"/>
    <n v="8"/>
    <s v="AED"/>
    <n v="107.25"/>
    <n v="754.44"/>
    <n v="857.9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560"/>
    <s v="3029675425212692"/>
    <s v="1.04.00"/>
    <s v="FP Labor - Remote Services Ctr"/>
    <s v="Labor"/>
    <s v="CO-C"/>
    <d v="2026-07-21T00:00:00"/>
    <x v="25"/>
    <x v="17"/>
    <s v="Employee"/>
    <s v="5"/>
    <s v="ORCL IN OSSI"/>
    <s v="504526 - 96V:GSC-DB &amp; Options"/>
    <s v="09B3"/>
    <s v="Y"/>
    <s v="Y"/>
    <s v="Unrecognized"/>
    <n v="8"/>
    <s v="AED"/>
    <n v="66.739999999999995"/>
    <n v="660.13"/>
    <n v="533.95000000000005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54"/>
    <s v="3029676340161531"/>
    <s v="1.04.00"/>
    <s v="FP Labor - Remote Services Ctr"/>
    <s v="Labor"/>
    <s v="CO-C"/>
    <d v="2026-07-21T00:00:00"/>
    <x v="25"/>
    <x v="19"/>
    <s v="Employee"/>
    <s v="4"/>
    <s v="ORCL IN OSSI"/>
    <s v="504526 - 96V:GSC-DB &amp; Options"/>
    <s v="09B4"/>
    <s v="Y"/>
    <s v="Y"/>
    <s v="Unrecognized"/>
    <n v="8"/>
    <s v="AED"/>
    <n v="66.739999999999995"/>
    <n v="542.25"/>
    <n v="533.95000000000005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292"/>
    <s v="3029671731819852"/>
    <s v="1.04.00"/>
    <s v="FP Labor - Remote Services Ctr"/>
    <s v="Labor"/>
    <s v="CO-C"/>
    <d v="2026-07-21T00:00:00"/>
    <x v="25"/>
    <x v="31"/>
    <s v="Employee"/>
    <s v="6"/>
    <s v="ORCL IN OSSI"/>
    <s v="504506 - 94V:GSC-eStudio"/>
    <s v="09B2"/>
    <s v="Y"/>
    <s v="Y"/>
    <s v="Unrecognized"/>
    <n v="6"/>
    <s v="AED"/>
    <n v="107.25"/>
    <n v="754.44"/>
    <n v="643.47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04"/>
    <s v="3029676333946841"/>
    <s v="1.04.00"/>
    <s v="FP Labor - Remote Services Ctr"/>
    <s v="Labor"/>
    <s v="CO-C"/>
    <d v="2026-07-22T00:00:00"/>
    <x v="25"/>
    <x v="27"/>
    <s v="Employee"/>
    <s v="6"/>
    <s v="ORCL IN OSSI"/>
    <s v="504526 - 96V:GSC-DB &amp; Options"/>
    <s v="09B4"/>
    <s v="Y"/>
    <s v="Y"/>
    <s v="Unrecognized"/>
    <n v="8"/>
    <s v="AED"/>
    <n v="107.2"/>
    <n v="754.44"/>
    <n v="857.6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8556"/>
    <s v="3029675425212722"/>
    <s v="1.04.00"/>
    <s v="FP Labor - Remote Services Ctr"/>
    <s v="Labor"/>
    <s v="CO-C"/>
    <d v="2026-07-22T00:00:00"/>
    <x v="25"/>
    <x v="17"/>
    <s v="Employee"/>
    <s v="5"/>
    <s v="ORCL IN OSSI"/>
    <s v="504526 - 96V:GSC-DB &amp; Options"/>
    <s v="09B3"/>
    <s v="Y"/>
    <s v="Y"/>
    <s v="Unrecognized"/>
    <n v="2"/>
    <s v="AED"/>
    <n v="66.72"/>
    <n v="660.13"/>
    <n v="133.43"/>
    <n v="0"/>
    <n v="1320.2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52"/>
    <s v="3029676340161561"/>
    <s v="1.04.00"/>
    <s v="FP Labor - Remote Services Ctr"/>
    <s v="Labor"/>
    <s v="CO-C"/>
    <d v="2026-07-22T00:00:00"/>
    <x v="25"/>
    <x v="19"/>
    <s v="Employee"/>
    <s v="4"/>
    <s v="ORCL IN OSSI"/>
    <s v="504526 - 96V:GSC-DB &amp; Options"/>
    <s v="09B4"/>
    <s v="Y"/>
    <s v="Y"/>
    <s v="Unrecognized"/>
    <n v="8"/>
    <s v="AED"/>
    <n v="66.72"/>
    <n v="542.25"/>
    <n v="533.7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235"/>
    <s v="3029671731819882"/>
    <s v="1.04.00"/>
    <s v="FP Labor - Remote Services Ctr"/>
    <s v="Labor"/>
    <s v="CO-C"/>
    <d v="2026-07-22T00:00:00"/>
    <x v="25"/>
    <x v="31"/>
    <s v="Employee"/>
    <s v="6"/>
    <s v="ORCL IN OSSI"/>
    <s v="504506 - 94V:GSC-eStudio"/>
    <s v="09B2"/>
    <s v="Y"/>
    <s v="Y"/>
    <s v="Unrecognized"/>
    <n v="6"/>
    <s v="AED"/>
    <n v="107.2"/>
    <n v="754.44"/>
    <n v="643.21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03"/>
    <s v="3029676333946861"/>
    <s v="1.04.00"/>
    <s v="FP Labor - Remote Services Ctr"/>
    <s v="Labor"/>
    <s v="CO-C"/>
    <d v="2026-07-23T00:00:00"/>
    <x v="25"/>
    <x v="27"/>
    <s v="Employee"/>
    <s v="6"/>
    <s v="ORCL IN OSSI"/>
    <s v="504526 - 96V:GSC-DB &amp; Options"/>
    <s v="09B4"/>
    <s v="Y"/>
    <s v="Y"/>
    <s v="Unrecognized"/>
    <n v="2"/>
    <s v="AED"/>
    <n v="106.84"/>
    <n v="754.44"/>
    <n v="213.67"/>
    <n v="0"/>
    <n v="1508.8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138311"/>
    <s v="3029675425212751"/>
    <s v="1.04.00"/>
    <s v="FP Labor - Remote Services Ctr"/>
    <s v="Labor"/>
    <s v="CO-C"/>
    <d v="2026-07-23T00:00:00"/>
    <x v="25"/>
    <x v="17"/>
    <s v="Employee"/>
    <s v="5"/>
    <s v="ORCL IN OSSI"/>
    <s v="504526 - 96V:GSC-DB &amp; Options"/>
    <s v="09B3"/>
    <s v="Y"/>
    <s v="Y"/>
    <s v="Unrecognized"/>
    <n v="6"/>
    <s v="AED"/>
    <n v="66.489999999999995"/>
    <n v="660.13"/>
    <n v="398.92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5324"/>
    <s v="3029676340161581"/>
    <s v="1.04.00"/>
    <s v="FP Labor - Remote Services Ctr"/>
    <s v="Labor"/>
    <s v="CO-C"/>
    <d v="2026-07-23T00:00:00"/>
    <x v="25"/>
    <x v="19"/>
    <s v="Employee"/>
    <s v="4"/>
    <s v="ORCL IN OSSI"/>
    <s v="504526 - 96V:GSC-DB &amp; Options"/>
    <s v="09B4"/>
    <s v="Y"/>
    <s v="Y"/>
    <s v="Unrecognized"/>
    <n v="2"/>
    <s v="AED"/>
    <n v="66.489999999999995"/>
    <n v="542.25"/>
    <n v="132.97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249231"/>
    <s v="3029671731819912"/>
    <s v="1.04.00"/>
    <s v="FP Labor - Remote Services Ctr"/>
    <s v="Labor"/>
    <s v="CO-C"/>
    <d v="2026-07-23T00:00:00"/>
    <x v="25"/>
    <x v="31"/>
    <s v="Employee"/>
    <s v="6"/>
    <s v="ORCL IN OSSI"/>
    <s v="504506 - 94V:GSC-eStudio"/>
    <s v="09B2"/>
    <s v="Y"/>
    <s v="Y"/>
    <s v="Unrecognized"/>
    <n v="6"/>
    <s v="AED"/>
    <n v="106.83"/>
    <n v="754.44"/>
    <n v="641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314685"/>
    <s v="3029676333946891"/>
    <s v="1.04.00"/>
    <s v="FP Labor - Remote Services Ctr"/>
    <s v="Labor"/>
    <s v="CO-C"/>
    <d v="2026-07-24T00:00:00"/>
    <x v="25"/>
    <x v="27"/>
    <s v="Employee"/>
    <s v="6"/>
    <s v="ORCL IN OSSI"/>
    <s v="504526 - 96V:GSC-DB &amp; Options"/>
    <s v="09B4"/>
    <s v="Y"/>
    <s v="Y"/>
    <s v="Unrecognized"/>
    <n v="2"/>
    <s v="AED"/>
    <n v="106.84"/>
    <n v="754.44"/>
    <n v="213.67"/>
    <n v="0"/>
    <n v="1508.8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319430"/>
    <s v="3029675425212781"/>
    <s v="1.04.00"/>
    <s v="FP Labor - Remote Services Ctr"/>
    <s v="Labor"/>
    <s v="CO-C"/>
    <d v="2026-07-24T00:00:00"/>
    <x v="25"/>
    <x v="17"/>
    <s v="Employee"/>
    <s v="5"/>
    <s v="ORCL IN OSSI"/>
    <s v="504526 - 96V:GSC-DB &amp; Options"/>
    <s v="09B3"/>
    <s v="Y"/>
    <s v="Y"/>
    <s v="Unrecognized"/>
    <n v="4"/>
    <s v="AED"/>
    <n v="66.489999999999995"/>
    <n v="660.13"/>
    <n v="265.95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315990"/>
    <s v="3029676340161611"/>
    <s v="1.04.00"/>
    <s v="FP Labor - Remote Services Ctr"/>
    <s v="Labor"/>
    <s v="CO-C"/>
    <d v="2026-07-24T00:00:00"/>
    <x v="25"/>
    <x v="19"/>
    <s v="Employee"/>
    <s v="4"/>
    <s v="ORCL IN OSSI"/>
    <s v="504526 - 96V:GSC-DB &amp; Options"/>
    <s v="09B4"/>
    <s v="Y"/>
    <s v="Y"/>
    <s v="Unrecognized"/>
    <n v="2"/>
    <s v="AED"/>
    <n v="66.489999999999995"/>
    <n v="542.25"/>
    <n v="132.97999999999999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319834"/>
    <s v="3029671731819942"/>
    <s v="1.04.00"/>
    <s v="FP Labor - Remote Services Ctr"/>
    <s v="Labor"/>
    <s v="CO-C"/>
    <d v="2026-07-24T00:00:00"/>
    <x v="25"/>
    <x v="31"/>
    <s v="Employee"/>
    <s v="6"/>
    <s v="ORCL IN OSSI"/>
    <s v="504506 - 94V:GSC-eStudio"/>
    <s v="09B2"/>
    <s v="Y"/>
    <s v="Y"/>
    <s v="Unrecognized"/>
    <n v="6"/>
    <s v="AED"/>
    <n v="106.84"/>
    <n v="754.44"/>
    <n v="641.02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2937"/>
    <s v="3029678987242751"/>
    <s v="1.04.00"/>
    <s v="FP Labor - Remote Services Ctr"/>
    <s v="Labor"/>
    <s v="CO-C"/>
    <d v="2026-07-25T00:00:00"/>
    <x v="26"/>
    <x v="27"/>
    <s v="Employee"/>
    <s v="6"/>
    <s v="ORCL IN OSSI"/>
    <s v="504526 - 96V:GSC-DB &amp; Options"/>
    <s v="09B4"/>
    <s v="Y"/>
    <s v="Y"/>
    <s v="Unrecognized"/>
    <n v="8"/>
    <s v="AED"/>
    <n v="106.84"/>
    <n v="754.44"/>
    <n v="854.6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318"/>
    <s v="3029675423555281"/>
    <s v="1.04.00"/>
    <s v="FP Labor - Remote Services Ctr"/>
    <s v="Labor"/>
    <s v="CO-C"/>
    <d v="2026-07-25T00:00:00"/>
    <x v="26"/>
    <x v="17"/>
    <s v="Employee"/>
    <s v="5"/>
    <s v="ORCL IN OSSI"/>
    <s v="504526 - 96V:GSC-DB &amp; Options"/>
    <s v="09B3"/>
    <s v="Y"/>
    <s v="Y"/>
    <s v="Unrecognized"/>
    <n v="8"/>
    <s v="AED"/>
    <n v="66.489999999999995"/>
    <n v="660.13"/>
    <n v="531.9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7636"/>
    <s v="3029677794087961"/>
    <s v="1.04.00"/>
    <s v="FP Labor - Remote Services Ctr"/>
    <s v="Labor"/>
    <s v="CO-C"/>
    <d v="2026-07-25T00:00:00"/>
    <x v="26"/>
    <x v="19"/>
    <s v="Employee"/>
    <s v="4"/>
    <s v="ORCL IN OSSI"/>
    <s v="504526 - 96V:GSC-DB &amp; Options"/>
    <s v="09B4"/>
    <s v="Y"/>
    <s v="Y"/>
    <s v="Unrecognized"/>
    <n v="8"/>
    <s v="AED"/>
    <n v="66.489999999999995"/>
    <n v="542.25"/>
    <n v="531.9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8082498"/>
    <s v="3029682090881961"/>
    <s v="1.04.00"/>
    <s v="FP Labor - Remote Services Ctr"/>
    <s v="Labor"/>
    <s v="CO-C"/>
    <d v="2026-07-25T00:00:00"/>
    <x v="26"/>
    <x v="31"/>
    <s v="Employee"/>
    <s v="6"/>
    <s v="ORCL IN OSSI"/>
    <s v="504506 - 94V:GSC-eStudio"/>
    <s v="09B2"/>
    <s v="Y"/>
    <s v="Y"/>
    <s v="Unrecognized"/>
    <n v="8"/>
    <s v="AED"/>
    <n v="106.84"/>
    <m/>
    <n v="854.69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2935"/>
    <s v="3029678987242781"/>
    <s v="1.04.00"/>
    <s v="FP Labor - Remote Services Ctr"/>
    <s v="Labor"/>
    <s v="CO-C"/>
    <d v="2026-07-26T00:00:00"/>
    <x v="26"/>
    <x v="27"/>
    <s v="Employee"/>
    <s v="6"/>
    <s v="ORCL IN OSSI"/>
    <s v="504526 - 96V:GSC-DB &amp; Options"/>
    <s v="09B4"/>
    <s v="Y"/>
    <s v="Y"/>
    <s v="Unrecognized"/>
    <n v="8"/>
    <s v="AED"/>
    <n v="106.84"/>
    <n v="754.44"/>
    <n v="854.69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316"/>
    <s v="3029675423555311"/>
    <s v="1.04.00"/>
    <s v="FP Labor - Remote Services Ctr"/>
    <s v="Labor"/>
    <s v="CO-C"/>
    <d v="2026-07-26T00:00:00"/>
    <x v="26"/>
    <x v="17"/>
    <s v="Employee"/>
    <s v="5"/>
    <s v="ORCL IN OSSI"/>
    <s v="504526 - 96V:GSC-DB &amp; Options"/>
    <s v="09B3"/>
    <s v="Y"/>
    <s v="Y"/>
    <s v="Unrecognized"/>
    <n v="8"/>
    <s v="AED"/>
    <n v="66.489999999999995"/>
    <n v="660.13"/>
    <n v="531.91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7634"/>
    <s v="3029677794087991"/>
    <s v="1.04.00"/>
    <s v="FP Labor - Remote Services Ctr"/>
    <s v="Labor"/>
    <s v="CO-C"/>
    <d v="2026-07-26T00:00:00"/>
    <x v="26"/>
    <x v="19"/>
    <s v="Employee"/>
    <s v="4"/>
    <s v="ORCL IN OSSI"/>
    <s v="504526 - 96V:GSC-DB &amp; Options"/>
    <s v="09B4"/>
    <s v="Y"/>
    <s v="Y"/>
    <s v="Unrecognized"/>
    <n v="8"/>
    <s v="AED"/>
    <n v="66.489999999999995"/>
    <n v="542.25"/>
    <n v="531.91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8082496"/>
    <s v="3029682090881981"/>
    <s v="1.04.00"/>
    <s v="FP Labor - Remote Services Ctr"/>
    <s v="Labor"/>
    <s v="CO-C"/>
    <d v="2026-07-26T00:00:00"/>
    <x v="26"/>
    <x v="31"/>
    <s v="Employee"/>
    <s v="6"/>
    <s v="ORCL IN OSSI"/>
    <s v="504506 - 94V:GSC-eStudio"/>
    <s v="09B2"/>
    <s v="Y"/>
    <s v="Y"/>
    <s v="Unrecognized"/>
    <n v="8"/>
    <s v="AED"/>
    <n v="106.84"/>
    <m/>
    <n v="854.69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2934"/>
    <s v="3029678987242801"/>
    <s v="1.04.00"/>
    <s v="FP Labor - Remote Services Ctr"/>
    <s v="Labor"/>
    <s v="CO-C"/>
    <d v="2026-07-27T00:00:00"/>
    <x v="26"/>
    <x v="27"/>
    <s v="Employee"/>
    <s v="6"/>
    <s v="ORCL IN OSSI"/>
    <s v="504526 - 96V:GSC-DB &amp; Options"/>
    <s v="09B4"/>
    <s v="Y"/>
    <s v="Y"/>
    <s v="Unrecognized"/>
    <n v="2"/>
    <s v="AED"/>
    <n v="106.84"/>
    <n v="754.44"/>
    <n v="213.67"/>
    <n v="0"/>
    <n v="1508.8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28315"/>
    <s v="3029675423555341"/>
    <s v="1.04.00"/>
    <s v="FP Labor - Remote Services Ctr"/>
    <s v="Labor"/>
    <s v="CO-C"/>
    <d v="2026-07-27T00:00:00"/>
    <x v="26"/>
    <x v="17"/>
    <s v="Employee"/>
    <s v="5"/>
    <s v="ORCL IN OSSI"/>
    <s v="504526 - 96V:GSC-DB &amp; Options"/>
    <s v="09B3"/>
    <s v="Y"/>
    <s v="Y"/>
    <s v="Unrecognized"/>
    <n v="6"/>
    <s v="AED"/>
    <n v="66.489999999999995"/>
    <n v="660.13"/>
    <n v="398.93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659320"/>
    <s v="3029677658832451"/>
    <s v="1.04.00"/>
    <s v="FP Labor - Remote Services Ctr"/>
    <s v="Labor"/>
    <s v="CO-C"/>
    <d v="2026-07-27T00:00:00"/>
    <x v="26"/>
    <x v="3"/>
    <s v="Employee"/>
    <s v="6"/>
    <s v="ORCL IN OSSI"/>
    <s v="504506 - 94V:GSC-eStudio"/>
    <s v="09B4"/>
    <s v="Y"/>
    <s v="Y"/>
    <s v="Unrecognized"/>
    <n v="4"/>
    <s v="AED"/>
    <n v="106.84"/>
    <n v="754.44"/>
    <n v="427.34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8082485"/>
    <s v="3029682090882001"/>
    <s v="1.04.00"/>
    <s v="FP Labor - Remote Services Ctr"/>
    <s v="Labor"/>
    <s v="CO-C"/>
    <d v="2026-07-27T00:00:00"/>
    <x v="26"/>
    <x v="31"/>
    <s v="Employee"/>
    <s v="6"/>
    <s v="ORCL IN OSSI"/>
    <s v="504506 - 94V:GSC-eStudio"/>
    <s v="09B2"/>
    <s v="Y"/>
    <s v="Y"/>
    <s v="Unrecognized"/>
    <n v="4"/>
    <s v="AED"/>
    <n v="106.84"/>
    <m/>
    <n v="427.34"/>
    <n v="0"/>
    <n v="0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2931"/>
    <s v="3029678987242841"/>
    <s v="1.04.00"/>
    <s v="FP Labor - Remote Services Ctr"/>
    <s v="Labor"/>
    <s v="CO-C"/>
    <d v="2026-07-28T00:00:00"/>
    <x v="26"/>
    <x v="27"/>
    <s v="Employee"/>
    <s v="6"/>
    <s v="ORCL IN OSSI"/>
    <s v="504526 - 96V:GSC-DB &amp; Options"/>
    <s v="09B4"/>
    <s v="Y"/>
    <s v="Y"/>
    <s v="Unrecognized"/>
    <n v="8"/>
    <s v="AED"/>
    <n v="107.58"/>
    <n v="754.44"/>
    <n v="860.6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951720"/>
    <s v="3029675423555373"/>
    <s v="1.04.00"/>
    <s v="FP Labor - Remote Services Ctr"/>
    <s v="Labor"/>
    <s v="CO-C"/>
    <d v="2026-07-28T00:00:00"/>
    <x v="26"/>
    <x v="17"/>
    <s v="Employee"/>
    <s v="5"/>
    <s v="ORCL IN OSSI"/>
    <s v="504526 - 96V:GSC-DB &amp; Options"/>
    <s v="09B3"/>
    <s v="Y"/>
    <s v="Y"/>
    <s v="Unrecognized"/>
    <n v="8"/>
    <s v="AED"/>
    <n v="66.95"/>
    <n v="660.13"/>
    <n v="535.6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64001"/>
    <s v="3029677794088041"/>
    <s v="1.04.00"/>
    <s v="FP Labor - Remote Services Ctr"/>
    <s v="Labor"/>
    <s v="CO-C"/>
    <d v="2026-07-28T00:00:00"/>
    <x v="26"/>
    <x v="19"/>
    <s v="Employee"/>
    <s v="4"/>
    <s v="ORCL IN OSSI"/>
    <s v="504526 - 96V:GSC-DB &amp; Options"/>
    <s v="09B4"/>
    <s v="Y"/>
    <s v="Y"/>
    <s v="Unrecognized"/>
    <n v="4"/>
    <s v="AED"/>
    <n v="66.95"/>
    <n v="542.25"/>
    <n v="267.81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763880"/>
    <s v="3029677658832471"/>
    <s v="1.04.00"/>
    <s v="FP Labor - Remote Services Ctr"/>
    <s v="Labor"/>
    <s v="CO-C"/>
    <d v="2026-07-28T00:00:00"/>
    <x v="26"/>
    <x v="3"/>
    <s v="Employee"/>
    <s v="6"/>
    <s v="ORCL IN OSSI"/>
    <s v="504506 - 94V:GSC-eStudio"/>
    <s v="09B4"/>
    <s v="Y"/>
    <s v="Y"/>
    <s v="Unrecognized"/>
    <n v="4"/>
    <s v="AED"/>
    <n v="107.59"/>
    <n v="754.44"/>
    <n v="430.34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2920"/>
    <s v="3029678987242871"/>
    <s v="1.04.00"/>
    <s v="FP Labor - Remote Services Ctr"/>
    <s v="Labor"/>
    <s v="CO-C"/>
    <d v="2026-07-29T00:00:00"/>
    <x v="26"/>
    <x v="27"/>
    <s v="Employee"/>
    <s v="6"/>
    <s v="ORCL IN OSSI"/>
    <s v="504526 - 96V:GSC-DB &amp; Options"/>
    <s v="09B4"/>
    <s v="Y"/>
    <s v="Y"/>
    <s v="Unrecognized"/>
    <n v="8"/>
    <s v="AED"/>
    <n v="107.58"/>
    <n v="754.44"/>
    <n v="860.67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870159"/>
    <s v="3029675423555402"/>
    <s v="1.04.00"/>
    <s v="FP Labor - Remote Services Ctr"/>
    <s v="Labor"/>
    <s v="CO-C"/>
    <d v="2026-07-29T00:00:00"/>
    <x v="26"/>
    <x v="17"/>
    <s v="Employee"/>
    <s v="5"/>
    <s v="ORCL IN OSSI"/>
    <s v="504526 - 96V:GSC-DB &amp; Options"/>
    <s v="09B3"/>
    <s v="Y"/>
    <s v="Y"/>
    <s v="Unrecognized"/>
    <n v="8"/>
    <s v="AED"/>
    <n v="66.95"/>
    <n v="660.13"/>
    <n v="535.63"/>
    <n v="0"/>
    <n v="5281.02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870532"/>
    <s v="3029677794088061"/>
    <s v="1.04.00"/>
    <s v="FP Labor - Remote Services Ctr"/>
    <s v="Labor"/>
    <s v="CO-C"/>
    <d v="2026-07-29T00:00:00"/>
    <x v="26"/>
    <x v="19"/>
    <s v="Employee"/>
    <s v="4"/>
    <s v="ORCL IN OSSI"/>
    <s v="504526 - 96V:GSC-DB &amp; Options"/>
    <s v="09B4"/>
    <s v="Y"/>
    <s v="Y"/>
    <s v="Unrecognized"/>
    <n v="8"/>
    <s v="AED"/>
    <n v="66.95"/>
    <n v="542.25"/>
    <n v="535.63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870451"/>
    <s v="3029677658832492"/>
    <s v="1.04.00"/>
    <s v="FP Labor - Remote Services Ctr"/>
    <s v="Labor"/>
    <s v="CO-C"/>
    <d v="2026-07-29T00:00:00"/>
    <x v="26"/>
    <x v="3"/>
    <s v="Employee"/>
    <s v="6"/>
    <s v="ORCL IN OSSI"/>
    <s v="504506 - 94V:GSC-eStudio"/>
    <s v="09B4"/>
    <s v="Y"/>
    <s v="Y"/>
    <s v="Unrecognized"/>
    <n v="4"/>
    <s v="AED"/>
    <n v="107.59"/>
    <n v="754.44"/>
    <n v="430.34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2918"/>
    <s v="3029678987242901"/>
    <s v="1.04.00"/>
    <s v="FP Labor - Remote Services Ctr"/>
    <s v="Labor"/>
    <s v="CO-C"/>
    <d v="2026-07-30T00:00:00"/>
    <x v="26"/>
    <x v="27"/>
    <s v="Employee"/>
    <s v="6"/>
    <s v="ORCL IN OSSI"/>
    <s v="504526 - 96V:GSC-DB &amp; Options"/>
    <s v="09B4"/>
    <s v="Y"/>
    <s v="Y"/>
    <s v="Unrecognized"/>
    <n v="8"/>
    <s v="AED"/>
    <n v="107.8"/>
    <n v="754.44"/>
    <n v="862.4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6978762"/>
    <s v="3029675423555433"/>
    <s v="1.04.00"/>
    <s v="FP Labor - Remote Services Ctr"/>
    <s v="Labor"/>
    <s v="CO-C"/>
    <d v="2026-07-30T00:00:00"/>
    <x v="26"/>
    <x v="17"/>
    <s v="Employee"/>
    <s v="5"/>
    <s v="ORCL IN OSSI"/>
    <s v="504526 - 96V:GSC-DB &amp; Options"/>
    <s v="09B3"/>
    <s v="Y"/>
    <s v="Y"/>
    <s v="Unrecognized"/>
    <n v="2"/>
    <s v="AED"/>
    <n v="67.09"/>
    <n v="660.13"/>
    <n v="134.18"/>
    <n v="0"/>
    <n v="1320.2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000251"/>
    <s v="3029677794088081"/>
    <s v="1.04.00"/>
    <s v="FP Labor - Remote Services Ctr"/>
    <s v="Labor"/>
    <s v="CO-C"/>
    <d v="2026-07-30T00:00:00"/>
    <x v="26"/>
    <x v="19"/>
    <s v="Employee"/>
    <s v="4"/>
    <s v="ORCL IN OSSI"/>
    <s v="504526 - 96V:GSC-DB &amp; Options"/>
    <s v="09B4"/>
    <s v="Y"/>
    <s v="Y"/>
    <s v="Unrecognized"/>
    <n v="8"/>
    <s v="AED"/>
    <n v="67.09"/>
    <n v="542.25"/>
    <n v="53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000761"/>
    <s v="3029677658832511"/>
    <s v="1.04.00"/>
    <s v="FP Labor - Remote Services Ctr"/>
    <s v="Labor"/>
    <s v="CO-C"/>
    <d v="2026-07-30T00:00:00"/>
    <x v="26"/>
    <x v="3"/>
    <s v="Employee"/>
    <s v="6"/>
    <s v="ORCL IN OSSI"/>
    <s v="504506 - 94V:GSC-eStudio"/>
    <s v="09B4"/>
    <s v="Y"/>
    <s v="Y"/>
    <s v="Unrecognized"/>
    <n v="8"/>
    <s v="AED"/>
    <n v="107.8"/>
    <n v="754.44"/>
    <n v="862.4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2917"/>
    <s v="3029678987242921"/>
    <s v="1.04.00"/>
    <s v="FP Labor - Remote Services Ctr"/>
    <s v="Labor"/>
    <s v="CO-C"/>
    <d v="2026-07-31T00:00:00"/>
    <x v="26"/>
    <x v="27"/>
    <s v="Employee"/>
    <s v="6"/>
    <s v="ORCL IN OSSI"/>
    <s v="504526 - 96V:GSC-DB &amp; Options"/>
    <s v="09B4"/>
    <s v="Y"/>
    <s v="Y"/>
    <s v="Unrecognized"/>
    <n v="2"/>
    <s v="AED"/>
    <n v="107.81"/>
    <n v="754.44"/>
    <n v="215.61"/>
    <n v="0"/>
    <n v="1508.8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29173"/>
    <s v="3029675423555461"/>
    <s v="1.04.00"/>
    <s v="FP Labor - Remote Services Ctr"/>
    <s v="Labor"/>
    <s v="CO-C"/>
    <d v="2026-07-31T00:00:00"/>
    <x v="26"/>
    <x v="17"/>
    <s v="Employee"/>
    <s v="5"/>
    <s v="ORCL IN OSSI"/>
    <s v="504526 - 96V:GSC-DB &amp; Options"/>
    <s v="09B3"/>
    <s v="Y"/>
    <s v="Y"/>
    <s v="Unrecognized"/>
    <n v="4"/>
    <s v="AED"/>
    <n v="67.09"/>
    <n v="660.13"/>
    <n v="268.36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3658"/>
    <s v="3029677794088101"/>
    <s v="1.04.00"/>
    <s v="FP Labor - Remote Services Ctr"/>
    <s v="Labor"/>
    <s v="CO-C"/>
    <d v="2026-07-31T00:00:00"/>
    <x v="26"/>
    <x v="19"/>
    <s v="Employee"/>
    <s v="4"/>
    <s v="ORCL IN OSSI"/>
    <s v="504526 - 96V:GSC-DB &amp; Options"/>
    <s v="09B4"/>
    <s v="Y"/>
    <s v="Y"/>
    <s v="Unrecognized"/>
    <n v="8"/>
    <s v="AED"/>
    <n v="67.09"/>
    <n v="542.25"/>
    <n v="536.72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154357"/>
    <s v="3029677658832531"/>
    <s v="1.04.00"/>
    <s v="FP Labor - Remote Services Ctr"/>
    <s v="Labor"/>
    <s v="CO-C"/>
    <d v="2026-07-31T00:00:00"/>
    <x v="26"/>
    <x v="3"/>
    <s v="Employee"/>
    <s v="6"/>
    <s v="ORCL IN OSSI"/>
    <s v="504506 - 94V:GSC-eStudio"/>
    <s v="09B4"/>
    <s v="Y"/>
    <s v="Y"/>
    <s v="Unrecognized"/>
    <n v="8"/>
    <s v="AED"/>
    <n v="107.8"/>
    <n v="754.44"/>
    <n v="862.4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591594"/>
    <s v="3029678987688013"/>
    <s v="1.04.00"/>
    <s v="FP Labor - Remote Services Ctr"/>
    <s v="Labor"/>
    <s v="CO-C"/>
    <d v="2026-08-03T00:00:00"/>
    <x v="27"/>
    <x v="27"/>
    <s v="Employee"/>
    <s v="6"/>
    <s v="ORCL IN OSSI"/>
    <s v="504526 - 96V:GSC-DB &amp; Options"/>
    <s v="09B4"/>
    <s v="Y"/>
    <s v="Y"/>
    <s v="Unrecognized"/>
    <n v="2"/>
    <s v="AED"/>
    <n v="107.81"/>
    <n v="754.44"/>
    <n v="215.61"/>
    <n v="0"/>
    <n v="1508.8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59515"/>
    <s v="3029677603530332"/>
    <s v="1.04.00"/>
    <s v="FP Labor - Remote Services Ctr"/>
    <s v="Labor"/>
    <s v="CO-C"/>
    <d v="2026-08-03T00:00:00"/>
    <x v="27"/>
    <x v="17"/>
    <s v="Employee"/>
    <s v="5"/>
    <s v="ORCL IN OSSI"/>
    <s v="504526 - 96V:GSC-DB &amp; Options"/>
    <s v="09B3"/>
    <s v="Y"/>
    <s v="Y"/>
    <s v="Unrecognized"/>
    <n v="6"/>
    <s v="AED"/>
    <n v="67.09"/>
    <n v="660.13"/>
    <n v="402.54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52061"/>
    <s v="3029677794342211"/>
    <s v="1.04.00"/>
    <s v="FP Labor - Remote Services Ctr"/>
    <s v="Labor"/>
    <s v="CO-C"/>
    <d v="2026-08-03T00:00:00"/>
    <x v="27"/>
    <x v="19"/>
    <s v="Employee"/>
    <s v="4"/>
    <s v="ORCL IN OSSI"/>
    <s v="504526 - 96V:GSC-DB &amp; Options"/>
    <s v="09B4"/>
    <s v="Y"/>
    <s v="Y"/>
    <s v="Unrecognized"/>
    <n v="6"/>
    <s v="AED"/>
    <n v="67.09"/>
    <n v="542.25"/>
    <n v="402.54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84442"/>
    <s v="3029677984675421"/>
    <s v="1.04.00"/>
    <s v="FP Labor - Remote Services Ctr"/>
    <s v="Labor"/>
    <s v="CO-C"/>
    <d v="2026-08-03T00:00:00"/>
    <x v="27"/>
    <x v="3"/>
    <s v="Employee"/>
    <s v="6"/>
    <s v="ORCL IN OSSI"/>
    <s v="504506 - 94V:GSC-eStudio"/>
    <s v="09B4"/>
    <s v="Y"/>
    <s v="Y"/>
    <s v="Unrecognized"/>
    <n v="4"/>
    <s v="AED"/>
    <n v="107.8"/>
    <n v="754.44"/>
    <n v="431.21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71820"/>
    <s v="3029680631587711"/>
    <s v="1.04.00"/>
    <s v="FP Labor - Remote Services Ctr"/>
    <s v="Labor"/>
    <s v="CO-C"/>
    <d v="2026-08-03T00:00:00"/>
    <x v="27"/>
    <x v="36"/>
    <s v="Employee"/>
    <s v="7"/>
    <s v="ORCL IN OSSI"/>
    <s v="504546 - 98V:GSC-PaaS"/>
    <s v="009B"/>
    <s v="Y"/>
    <s v="Y"/>
    <s v="Unrecognized"/>
    <n v="2"/>
    <s v="AED"/>
    <n v="107.81"/>
    <n v="813.38"/>
    <n v="215.61"/>
    <n v="0"/>
    <n v="1626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59513"/>
    <s v="3029677603530362"/>
    <s v="1.04.00"/>
    <s v="FP Labor - Remote Services Ctr"/>
    <s v="Labor"/>
    <s v="CO-C"/>
    <d v="2026-08-04T00:00:00"/>
    <x v="27"/>
    <x v="17"/>
    <s v="Employee"/>
    <s v="5"/>
    <s v="ORCL IN OSSI"/>
    <s v="504526 - 96V:GSC-DB &amp; Options"/>
    <s v="09B3"/>
    <s v="Y"/>
    <s v="Y"/>
    <s v="Unrecognized"/>
    <n v="6"/>
    <s v="AED"/>
    <n v="67.09"/>
    <n v="660.13"/>
    <n v="402.54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52059"/>
    <s v="3029677794342241"/>
    <s v="1.04.00"/>
    <s v="FP Labor - Remote Services Ctr"/>
    <s v="Labor"/>
    <s v="CO-C"/>
    <d v="2026-08-04T00:00:00"/>
    <x v="27"/>
    <x v="19"/>
    <s v="Employee"/>
    <s v="4"/>
    <s v="ORCL IN OSSI"/>
    <s v="504526 - 96V:GSC-DB &amp; Options"/>
    <s v="09B4"/>
    <s v="Y"/>
    <s v="Y"/>
    <s v="Unrecognized"/>
    <n v="6"/>
    <s v="AED"/>
    <n v="67.09"/>
    <n v="542.25"/>
    <n v="402.54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484441"/>
    <s v="3029677984675441"/>
    <s v="1.04.00"/>
    <s v="FP Labor - Remote Services Ctr"/>
    <s v="Labor"/>
    <s v="CO-C"/>
    <d v="2026-08-04T00:00:00"/>
    <x v="27"/>
    <x v="3"/>
    <s v="Employee"/>
    <s v="6"/>
    <s v="ORCL IN OSSI"/>
    <s v="504506 - 94V:GSC-eStudio"/>
    <s v="09B4"/>
    <s v="Y"/>
    <s v="Y"/>
    <s v="Unrecognized"/>
    <n v="4"/>
    <s v="AED"/>
    <n v="107.8"/>
    <n v="754.44"/>
    <n v="431.21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71817"/>
    <s v="3029680631587751"/>
    <s v="1.04.00"/>
    <s v="FP Labor - Remote Services Ctr"/>
    <s v="Labor"/>
    <s v="CO-C"/>
    <d v="2026-08-04T00:00:00"/>
    <x v="27"/>
    <x v="36"/>
    <s v="Employee"/>
    <s v="7"/>
    <s v="ORCL IN OSSI"/>
    <s v="504546 - 98V:GSC-PaaS"/>
    <s v="009B"/>
    <s v="Y"/>
    <s v="Y"/>
    <s v="Unrecognized"/>
    <n v="2"/>
    <s v="AED"/>
    <n v="107.81"/>
    <n v="813.38"/>
    <n v="215.61"/>
    <n v="0"/>
    <n v="1626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598505"/>
    <s v="3029677603530392"/>
    <s v="1.04.00"/>
    <s v="FP Labor - Remote Services Ctr"/>
    <s v="Labor"/>
    <s v="CO-C"/>
    <d v="2026-08-05T00:00:00"/>
    <x v="27"/>
    <x v="17"/>
    <s v="Employee"/>
    <s v="5"/>
    <s v="ORCL IN OSSI"/>
    <s v="504526 - 96V:GSC-DB &amp; Options"/>
    <s v="09B3"/>
    <s v="Y"/>
    <s v="Y"/>
    <s v="Unrecognized"/>
    <n v="6"/>
    <s v="AED"/>
    <n v="67.09"/>
    <n v="660.13"/>
    <n v="402.54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598280"/>
    <s v="3029677794342271"/>
    <s v="1.04.00"/>
    <s v="FP Labor - Remote Services Ctr"/>
    <s v="Labor"/>
    <s v="CO-C"/>
    <d v="2026-08-05T00:00:00"/>
    <x v="27"/>
    <x v="19"/>
    <s v="Employee"/>
    <s v="4"/>
    <s v="ORCL IN OSSI"/>
    <s v="504526 - 96V:GSC-DB &amp; Options"/>
    <s v="09B4"/>
    <s v="Y"/>
    <s v="Y"/>
    <s v="Unrecognized"/>
    <n v="6"/>
    <s v="AED"/>
    <n v="67.09"/>
    <n v="542.25"/>
    <n v="402.54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591504"/>
    <s v="3029677984675461"/>
    <s v="1.04.00"/>
    <s v="FP Labor - Remote Services Ctr"/>
    <s v="Labor"/>
    <s v="CO-C"/>
    <d v="2026-08-05T00:00:00"/>
    <x v="27"/>
    <x v="3"/>
    <s v="Employee"/>
    <s v="6"/>
    <s v="ORCL IN OSSI"/>
    <s v="504506 - 94V:GSC-eStudio"/>
    <s v="09B4"/>
    <s v="Y"/>
    <s v="Y"/>
    <s v="Unrecognized"/>
    <n v="4"/>
    <s v="AED"/>
    <n v="107.8"/>
    <n v="754.44"/>
    <n v="431.21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71782"/>
    <s v="3029680631587791"/>
    <s v="1.04.00"/>
    <s v="FP Labor - Remote Services Ctr"/>
    <s v="Labor"/>
    <s v="CO-C"/>
    <d v="2026-08-05T00:00:00"/>
    <x v="27"/>
    <x v="36"/>
    <s v="Employee"/>
    <s v="7"/>
    <s v="ORCL IN OSSI"/>
    <s v="504546 - 98V:GSC-PaaS"/>
    <s v="009B"/>
    <s v="Y"/>
    <s v="Y"/>
    <s v="Unrecognized"/>
    <n v="2"/>
    <s v="AED"/>
    <n v="107.81"/>
    <n v="813.38"/>
    <n v="215.61"/>
    <n v="0"/>
    <n v="1626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91022"/>
    <s v="3029680644705181"/>
    <s v="1.04.00"/>
    <s v="FP Labor - Remote Services Ctr"/>
    <s v="Labor"/>
    <s v="CO-C"/>
    <d v="2026-08-06T00:00:00"/>
    <x v="27"/>
    <x v="37"/>
    <s v="Employee"/>
    <s v="4"/>
    <s v="ORCL IN OSSI"/>
    <s v="504546 - 98V:GSC-PaaS"/>
    <s v="09B7"/>
    <s v="Y"/>
    <s v="Y"/>
    <s v="Unrecognized"/>
    <n v="2"/>
    <s v="AED"/>
    <n v="67.09"/>
    <n v="542.25"/>
    <n v="134.18"/>
    <n v="0"/>
    <n v="1084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91295"/>
    <s v="3029678987688102"/>
    <s v="1.04.00"/>
    <s v="FP Labor - Remote Services Ctr"/>
    <s v="Labor"/>
    <s v="CO-C"/>
    <d v="2026-08-06T00:00:00"/>
    <x v="27"/>
    <x v="27"/>
    <s v="Employee"/>
    <s v="6"/>
    <s v="ORCL IN OSSI"/>
    <s v="504526 - 96V:GSC-DB &amp; Options"/>
    <s v="09B4"/>
    <s v="Y"/>
    <s v="Y"/>
    <s v="Unrecognized"/>
    <n v="6"/>
    <s v="AED"/>
    <n v="107.8"/>
    <n v="754.44"/>
    <n v="646.82000000000005"/>
    <n v="0"/>
    <n v="4526.6099999999997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91935"/>
    <s v="3029677603530422"/>
    <s v="1.04.00"/>
    <s v="FP Labor - Remote Services Ctr"/>
    <s v="Labor"/>
    <s v="CO-C"/>
    <d v="2026-08-06T00:00:00"/>
    <x v="27"/>
    <x v="17"/>
    <s v="Employee"/>
    <s v="5"/>
    <s v="ORCL IN OSSI"/>
    <s v="504526 - 96V:GSC-DB &amp; Options"/>
    <s v="09B3"/>
    <s v="Y"/>
    <s v="Y"/>
    <s v="Unrecognized"/>
    <n v="6"/>
    <s v="AED"/>
    <n v="67.09"/>
    <n v="660.13"/>
    <n v="402.54"/>
    <n v="0"/>
    <n v="3960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90839"/>
    <s v="3029677794342301"/>
    <s v="1.04.00"/>
    <s v="FP Labor - Remote Services Ctr"/>
    <s v="Labor"/>
    <s v="CO-C"/>
    <d v="2026-08-06T00:00:00"/>
    <x v="27"/>
    <x v="19"/>
    <s v="Employee"/>
    <s v="4"/>
    <s v="ORCL IN OSSI"/>
    <s v="504526 - 96V:GSC-DB &amp; Options"/>
    <s v="09B4"/>
    <s v="Y"/>
    <s v="Y"/>
    <s v="Unrecognized"/>
    <n v="6"/>
    <s v="AED"/>
    <n v="67.09"/>
    <n v="542.25"/>
    <n v="402.54"/>
    <n v="0"/>
    <n v="3253.5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92049"/>
    <s v="3029677984675481"/>
    <s v="1.04.00"/>
    <s v="FP Labor - Remote Services Ctr"/>
    <s v="Labor"/>
    <s v="CO-C"/>
    <d v="2026-08-06T00:00:00"/>
    <x v="27"/>
    <x v="3"/>
    <s v="Employee"/>
    <s v="6"/>
    <s v="ORCL IN OSSI"/>
    <s v="504506 - 94V:GSC-eStudio"/>
    <s v="09B4"/>
    <s v="Y"/>
    <s v="Y"/>
    <s v="Unrecognized"/>
    <n v="8"/>
    <s v="AED"/>
    <n v="107.8"/>
    <n v="754.44"/>
    <n v="862.42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694926"/>
    <s v="3029680631587841"/>
    <s v="1.04.00"/>
    <s v="FP Labor - Remote Services Ctr"/>
    <s v="Labor"/>
    <s v="CO-C"/>
    <d v="2026-08-06T00:00:00"/>
    <x v="27"/>
    <x v="36"/>
    <s v="Employee"/>
    <s v="7"/>
    <s v="ORCL IN OSSI"/>
    <s v="504546 - 98V:GSC-PaaS"/>
    <s v="009B"/>
    <s v="Y"/>
    <s v="Y"/>
    <s v="Unrecognized"/>
    <n v="2"/>
    <s v="AED"/>
    <n v="107.81"/>
    <n v="813.38"/>
    <n v="215.61"/>
    <n v="0"/>
    <n v="1626.76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805568"/>
    <s v="3029679109870222"/>
    <s v="1.04.00"/>
    <s v="FP Labor - Remote Services Ctr"/>
    <s v="Labor"/>
    <s v="CO-C"/>
    <d v="2026-08-07T00:00:00"/>
    <x v="27"/>
    <x v="37"/>
    <s v="Employee"/>
    <s v="4"/>
    <s v="ORCL IN OSSI"/>
    <s v="504546 - 98V:GSC-PaaS"/>
    <s v="09B7"/>
    <s v="Y"/>
    <s v="Y"/>
    <s v="Unrecognized"/>
    <n v="8"/>
    <s v="AED"/>
    <n v="67.430000000000007"/>
    <n v="542.25"/>
    <n v="539.41999999999996"/>
    <n v="0"/>
    <n v="433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806480"/>
    <s v="3029678987688132"/>
    <s v="1.04.00"/>
    <s v="FP Labor - Remote Services Ctr"/>
    <s v="Labor"/>
    <s v="CO-C"/>
    <d v="2026-08-07T00:00:00"/>
    <x v="27"/>
    <x v="27"/>
    <s v="Employee"/>
    <s v="6"/>
    <s v="ORCL IN OSSI"/>
    <s v="504526 - 96V:GSC-DB &amp; Options"/>
    <s v="09B4"/>
    <s v="Y"/>
    <s v="Y"/>
    <s v="Unrecognized"/>
    <n v="4"/>
    <s v="AED"/>
    <n v="108.35"/>
    <n v="754.44"/>
    <n v="433.38"/>
    <n v="0"/>
    <n v="3017.74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805353"/>
    <s v="3029677603530452"/>
    <s v="1.04.00"/>
    <s v="FP Labor - Remote Services Ctr"/>
    <s v="Labor"/>
    <s v="CO-C"/>
    <d v="2026-08-07T00:00:00"/>
    <x v="27"/>
    <x v="17"/>
    <s v="Employee"/>
    <s v="5"/>
    <s v="ORCL IN OSSI"/>
    <s v="504526 - 96V:GSC-DB &amp; Options"/>
    <s v="09B3"/>
    <s v="Y"/>
    <s v="Y"/>
    <s v="Unrecognized"/>
    <n v="4"/>
    <s v="AED"/>
    <n v="67.430000000000007"/>
    <n v="660.13"/>
    <n v="269.70999999999998"/>
    <n v="0"/>
    <n v="2640.51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805242"/>
    <s v="3029677794342331"/>
    <s v="1.04.00"/>
    <s v="FP Labor - Remote Services Ctr"/>
    <s v="Labor"/>
    <s v="CO-C"/>
    <d v="2026-08-07T00:00:00"/>
    <x v="27"/>
    <x v="19"/>
    <s v="Employee"/>
    <s v="4"/>
    <s v="ORCL IN OSSI"/>
    <s v="504526 - 96V:GSC-DB &amp; Options"/>
    <s v="09B4"/>
    <s v="Y"/>
    <s v="Y"/>
    <s v="Unrecognized"/>
    <n v="4"/>
    <s v="AED"/>
    <n v="67.430000000000007"/>
    <n v="542.25"/>
    <n v="269.70999999999998"/>
    <n v="0"/>
    <n v="2169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s v="A_1.00.00_LAB_PO_1128508-0"/>
    <s v="A38179"/>
    <s v="217806464"/>
    <s v="3029677984675501"/>
    <s v="1.04.00"/>
    <s v="FP Labor - Remote Services Ctr"/>
    <s v="Labor"/>
    <s v="CO-C"/>
    <d v="2026-08-07T00:00:00"/>
    <x v="27"/>
    <x v="3"/>
    <s v="Employee"/>
    <s v="6"/>
    <s v="ORCL IN OSSI"/>
    <s v="504506 - 94V:GSC-eStudio"/>
    <s v="09B4"/>
    <s v="Y"/>
    <s v="Y"/>
    <s v="Unrecognized"/>
    <n v="8"/>
    <s v="AED"/>
    <n v="108.35"/>
    <n v="754.44"/>
    <n v="866.76"/>
    <n v="0"/>
    <n v="6035.48"/>
    <n v="0"/>
    <n v="0"/>
    <m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1743720"/>
    <s v="250830049"/>
    <s v="7.01.00"/>
    <s v="FP NB-Non-Billable Expenses"/>
    <s v="Expense"/>
    <s v="CN-C"/>
    <d v="2026-01-01T00:00:00"/>
    <x v="0"/>
    <x v="0"/>
    <s v="Employee"/>
    <s v="7"/>
    <s v="ORCL AE"/>
    <s v="509505 - 75M: EMEA Digital - PaaS"/>
    <s v="0069"/>
    <s v="Y"/>
    <s v="N"/>
    <s v="Unrecognized"/>
    <m/>
    <s v="AED"/>
    <m/>
    <m/>
    <n v="1572"/>
    <n v="0"/>
    <n v="0"/>
    <n v="0"/>
    <n v="1572"/>
    <s v="Meal for employee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1743721"/>
    <s v="250830469"/>
    <s v="7.01.00"/>
    <s v="FP NB-Non-Billable Expenses"/>
    <s v="Expense"/>
    <s v="CN-C"/>
    <d v="2026-01-01T00:00:00"/>
    <x v="0"/>
    <x v="0"/>
    <s v="Employee"/>
    <s v="7"/>
    <s v="ORCL AE"/>
    <s v="509505 - 75M: EMEA Digital - PaaS"/>
    <s v="0069"/>
    <s v="Y"/>
    <s v="N"/>
    <s v="Unrecognized"/>
    <m/>
    <s v="AED"/>
    <m/>
    <m/>
    <n v="0"/>
    <n v="0"/>
    <n v="0"/>
    <n v="0"/>
    <n v="0"/>
    <s v="Meal for employee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2950793"/>
    <s v="CNTREXP_851594_292030"/>
    <s v="7.01.00"/>
    <s v="FP NB-Non-Billable Expenses"/>
    <s v="Expense"/>
    <s v="CN-C"/>
    <d v="2026-01-13T00:00:00"/>
    <x v="2"/>
    <x v="12"/>
    <s v="Billable Contractor"/>
    <m/>
    <s v="ORCL EG"/>
    <s v="509335 - U3K-EMEA Tech Delivery - PaaS"/>
    <s v="008U"/>
    <s v="Y"/>
    <s v="N"/>
    <s v="Unrecognized"/>
    <m/>
    <s v="AED"/>
    <m/>
    <m/>
    <n v="206.74"/>
    <n v="0"/>
    <n v="0"/>
    <n v="0"/>
    <n v="206.74"/>
    <s v="New Mobile Number 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2950794"/>
    <s v="CNTREXP_851535_292030"/>
    <s v="7.01.00"/>
    <s v="FP NB-Non-Billable Expenses"/>
    <s v="Expense"/>
    <s v="CN-C"/>
    <d v="2026-01-13T00:00:00"/>
    <x v="2"/>
    <x v="12"/>
    <s v="Billable Contractor"/>
    <m/>
    <s v="ORCL EG"/>
    <s v="509335 - U3K-EMEA Tech Delivery - PaaS"/>
    <s v="008U"/>
    <s v="Y"/>
    <s v="N"/>
    <s v="Unrecognized"/>
    <m/>
    <s v="AED"/>
    <m/>
    <m/>
    <n v="490.5"/>
    <n v="0"/>
    <n v="0"/>
    <n v="0"/>
    <n v="490.5"/>
    <s v="UAE VIS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2950795"/>
    <s v="CNTREXP_851608_292030"/>
    <s v="7.01.00"/>
    <s v="FP NB-Non-Billable Expenses"/>
    <s v="Expense"/>
    <s v="CN-C"/>
    <d v="2026-01-13T00:00:00"/>
    <x v="2"/>
    <x v="12"/>
    <s v="Billable Contractor"/>
    <m/>
    <s v="ORCL EG"/>
    <s v="509335 - U3K-EMEA Tech Delivery - PaaS"/>
    <s v="008U"/>
    <s v="Y"/>
    <s v="N"/>
    <s v="Unrecognized"/>
    <m/>
    <s v="AED"/>
    <m/>
    <m/>
    <n v="2022.79"/>
    <n v="0"/>
    <n v="0"/>
    <n v="0"/>
    <n v="2022.79"/>
    <s v="Flight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2950797"/>
    <s v="CNTREXP_851591_292030"/>
    <s v="7.01.00"/>
    <s v="FP NB-Non-Billable Expenses"/>
    <s v="Expense"/>
    <s v="CN-C"/>
    <d v="2026-01-13T00:00:00"/>
    <x v="2"/>
    <x v="12"/>
    <s v="Billable Contractor"/>
    <m/>
    <s v="ORCL EG"/>
    <s v="509335 - U3K-EMEA Tech Delivery - PaaS"/>
    <s v="008U"/>
    <s v="Y"/>
    <s v="N"/>
    <s v="Unrecognized"/>
    <m/>
    <s v="AED"/>
    <m/>
    <m/>
    <n v="6725.86"/>
    <n v="0"/>
    <n v="0"/>
    <n v="0"/>
    <n v="6725.86"/>
    <s v="Hotel Accomedation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2950796"/>
    <s v="CNTREXP_851534_292030"/>
    <s v="7.01.00"/>
    <s v="FP NB-Non-Billable Expenses"/>
    <s v="Expense"/>
    <s v="CN-C"/>
    <d v="2026-01-14T00:00:00"/>
    <x v="2"/>
    <x v="12"/>
    <s v="Billable Contractor"/>
    <m/>
    <s v="ORCL EG"/>
    <s v="509335 - U3K-EMEA Tech Delivery - PaaS"/>
    <s v="008U"/>
    <s v="Y"/>
    <s v="N"/>
    <s v="Unrecognized"/>
    <m/>
    <s v="AED"/>
    <m/>
    <m/>
    <n v="2192.83"/>
    <n v="0"/>
    <n v="0"/>
    <n v="0"/>
    <n v="2192.83"/>
    <s v="Airport pickup and dropoff , Taxi to work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2950799"/>
    <s v="CNTREXP_851597_292030"/>
    <s v="7.01.00"/>
    <s v="FP NB-Non-Billable Expenses"/>
    <s v="Expense"/>
    <s v="CN-C"/>
    <d v="2026-01-18T00:00:00"/>
    <x v="3"/>
    <x v="12"/>
    <s v="Billable Contractor"/>
    <m/>
    <s v="ORCL EG"/>
    <s v="509335 - U3K-EMEA Tech Delivery - PaaS"/>
    <s v="008U"/>
    <s v="Y"/>
    <s v="N"/>
    <s v="Unrecognized"/>
    <m/>
    <s v="AED"/>
    <m/>
    <m/>
    <n v="55.53"/>
    <n v="0"/>
    <n v="0"/>
    <n v="0"/>
    <n v="55.53"/>
    <s v="Dry Cleam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2950798"/>
    <s v="CNTREXP_851593_292030"/>
    <s v="7.01.00"/>
    <s v="FP NB-Non-Billable Expenses"/>
    <s v="Expense"/>
    <s v="CN-C"/>
    <d v="2026-01-22T00:00:00"/>
    <x v="3"/>
    <x v="12"/>
    <s v="Billable Contractor"/>
    <m/>
    <s v="ORCL EG"/>
    <s v="509335 - U3K-EMEA Tech Delivery - PaaS"/>
    <s v="008U"/>
    <s v="Y"/>
    <s v="N"/>
    <s v="Unrecognized"/>
    <m/>
    <s v="AED"/>
    <m/>
    <m/>
    <n v="1636.67"/>
    <n v="0"/>
    <n v="0"/>
    <n v="0"/>
    <n v="1636.67"/>
    <s v="Meals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314751"/>
    <s v="253966666"/>
    <s v="7.01.00"/>
    <s v="FP NB-Non-Billable Expenses"/>
    <s v="Expense"/>
    <s v="CN-C"/>
    <d v="2026-02-06T00:00:00"/>
    <x v="6"/>
    <x v="27"/>
    <s v="Employee"/>
    <s v="6"/>
    <s v="ORCL IN OSSI"/>
    <s v="504526 - 96V:GSC-DB &amp; Options"/>
    <s v="09B4"/>
    <s v="Y"/>
    <s v="N"/>
    <s v="Unrecognized"/>
    <m/>
    <s v="AED"/>
    <m/>
    <m/>
    <n v="0.04"/>
    <n v="0"/>
    <n v="0"/>
    <n v="0"/>
    <n v="0.04"/>
    <s v="AMEX card tokenization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41"/>
    <s v="254446518"/>
    <s v="7.01.00"/>
    <s v="FP NB-Non-Billable Expenses"/>
    <s v="Expense"/>
    <s v="CN-C"/>
    <d v="2026-02-06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481.4"/>
    <n v="0"/>
    <n v="0"/>
    <n v="0"/>
    <n v="481.4"/>
    <s v="refunded amount from CWT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135223"/>
    <s v="253646146"/>
    <s v="7.01.00"/>
    <s v="FP NB-Non-Billable Expenses"/>
    <s v="Expense"/>
    <s v="CN-C"/>
    <d v="2026-02-06T00:00:00"/>
    <x v="7"/>
    <x v="19"/>
    <s v="Employee"/>
    <s v="4"/>
    <s v="ORCL IN OSSI"/>
    <s v="504526 - 96V:GSC-DB &amp; Options"/>
    <s v="09B4"/>
    <s v="Y"/>
    <s v="N"/>
    <s v="Unrecognized"/>
    <m/>
    <s v="AED"/>
    <m/>
    <m/>
    <n v="0.04"/>
    <n v="0"/>
    <n v="0"/>
    <n v="0"/>
    <n v="0.04"/>
    <s v="Visa Fee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585341"/>
    <s v="253245052"/>
    <s v="7.01.00"/>
    <s v="FP NB-Non-Billable Expenses"/>
    <s v="Expense"/>
    <s v="CN-C"/>
    <d v="2026-02-06T00:00:00"/>
    <x v="6"/>
    <x v="31"/>
    <s v="Employee"/>
    <s v="6"/>
    <s v="ORCL IN OSSI"/>
    <s v="504506 - 94V:GSC-eStudio"/>
    <s v="09B2"/>
    <s v="Y"/>
    <s v="N"/>
    <s v="Unrecognized"/>
    <m/>
    <s v="AED"/>
    <m/>
    <m/>
    <n v="0.04"/>
    <n v="0"/>
    <n v="0"/>
    <n v="0"/>
    <n v="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0977181"/>
    <s v="259374669"/>
    <s v="7.01.00"/>
    <s v="FP NB-Non-Billable Expenses"/>
    <s v="Expense"/>
    <s v="CN-C"/>
    <d v="2026-02-06T00:00:00"/>
    <x v="5"/>
    <x v="6"/>
    <s v="Employee"/>
    <s v="7"/>
    <s v="ORCL CY"/>
    <s v="503896 - 6FT:EMEA OCS Tech Other Delivery"/>
    <s v="010K"/>
    <s v="Y"/>
    <s v="N"/>
    <s v="Unrecognized"/>
    <m/>
    <s v="AED"/>
    <m/>
    <m/>
    <n v="3265.37"/>
    <n v="0"/>
    <n v="0"/>
    <n v="0"/>
    <n v="3265.37"/>
    <s v="For the CBCM Project  in ETISALAT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0977182"/>
    <s v="259374679"/>
    <s v="7.01.00"/>
    <s v="FP NB-Non-Billable Expenses"/>
    <s v="Expense"/>
    <s v="CN-C"/>
    <d v="2026-02-06T00:00:00"/>
    <x v="5"/>
    <x v="6"/>
    <s v="Employee"/>
    <s v="7"/>
    <s v="ORCL CY"/>
    <s v="503896 - 6FT:EMEA OCS Tech Other Delivery"/>
    <s v="010K"/>
    <s v="Y"/>
    <s v="N"/>
    <s v="Unrecognized"/>
    <m/>
    <s v="AED"/>
    <m/>
    <m/>
    <n v="0"/>
    <n v="0"/>
    <n v="0"/>
    <n v="0"/>
    <n v="0"/>
    <s v="For the CBCM Project  in ETISALAT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190059"/>
    <s v="253020067"/>
    <s v="7.01.00"/>
    <s v="FP NB-Non-Billable Expenses"/>
    <s v="Expense"/>
    <s v="CN-C"/>
    <d v="2026-02-10T00:00:00"/>
    <x v="6"/>
    <x v="27"/>
    <s v="Employee"/>
    <s v="6"/>
    <s v="ORCL IN OSSI"/>
    <s v="504526 - 96V:GSC-DB &amp; Options"/>
    <s v="09B4"/>
    <s v="Y"/>
    <s v="N"/>
    <s v="Unrecognized"/>
    <m/>
    <s v="AED"/>
    <m/>
    <m/>
    <n v="481.4"/>
    <n v="0"/>
    <n v="0"/>
    <n v="0"/>
    <n v="481.4"/>
    <s v="UAE VISA fees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314752"/>
    <s v="253966667"/>
    <s v="7.01.00"/>
    <s v="FP NB-Non-Billable Expenses"/>
    <s v="Expense"/>
    <s v="CN-C"/>
    <d v="2026-02-10T00:00:00"/>
    <x v="6"/>
    <x v="27"/>
    <s v="Employee"/>
    <s v="6"/>
    <s v="ORCL IN OSSI"/>
    <s v="504526 - 96V:GSC-DB &amp; Options"/>
    <s v="09B4"/>
    <s v="Y"/>
    <s v="N"/>
    <s v="Unrecognized"/>
    <m/>
    <s v="AED"/>
    <m/>
    <m/>
    <n v="-0.04"/>
    <n v="0"/>
    <n v="0"/>
    <n v="0"/>
    <n v="-0.04"/>
    <s v="AMEX card tokenization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135224"/>
    <s v="253646147"/>
    <s v="7.01.00"/>
    <s v="FP NB-Non-Billable Expenses"/>
    <s v="Expense"/>
    <s v="CN-C"/>
    <d v="2026-02-10T00:00:00"/>
    <x v="7"/>
    <x v="19"/>
    <s v="Employee"/>
    <s v="4"/>
    <s v="ORCL IN OSSI"/>
    <s v="504526 - 96V:GSC-DB &amp; Options"/>
    <s v="09B4"/>
    <s v="Y"/>
    <s v="N"/>
    <s v="Unrecognized"/>
    <m/>
    <s v="AED"/>
    <m/>
    <m/>
    <n v="-0.04"/>
    <n v="0"/>
    <n v="0"/>
    <n v="0"/>
    <n v="-0.04"/>
    <s v="Visa Fee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585342"/>
    <s v="253245053"/>
    <s v="7.01.00"/>
    <s v="FP NB-Non-Billable Expenses"/>
    <s v="Expense"/>
    <s v="CN-C"/>
    <d v="2026-02-10T00:00:00"/>
    <x v="6"/>
    <x v="31"/>
    <s v="Employee"/>
    <s v="6"/>
    <s v="ORCL IN OSSI"/>
    <s v="504506 - 94V:GSC-eStudio"/>
    <s v="09B2"/>
    <s v="Y"/>
    <s v="N"/>
    <s v="Unrecognized"/>
    <m/>
    <s v="AED"/>
    <m/>
    <m/>
    <n v="-0.04"/>
    <n v="0"/>
    <n v="0"/>
    <n v="0"/>
    <n v="-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660639"/>
    <s v="253333940"/>
    <s v="7.01.00"/>
    <s v="FP NB-Non-Billable Expenses"/>
    <s v="Expense"/>
    <s v="CN-C"/>
    <d v="2026-02-10T00:00:00"/>
    <x v="6"/>
    <x v="31"/>
    <s v="Employee"/>
    <s v="6"/>
    <s v="ORCL IN OSSI"/>
    <s v="504506 - 94V:GSC-eStudio"/>
    <s v="09B2"/>
    <s v="Y"/>
    <s v="N"/>
    <s v="Unrecognized"/>
    <m/>
    <s v="AED"/>
    <m/>
    <m/>
    <n v="481.4"/>
    <n v="0"/>
    <n v="0"/>
    <n v="0"/>
    <n v="481.4"/>
    <s v="Visa expenses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3976355"/>
    <s v="AIREXP_305683_969807"/>
    <s v="7.01.00"/>
    <s v="FP NB-Non-Billable Expenses"/>
    <s v="Expense"/>
    <s v="CN-C"/>
    <d v="2026-02-11T00:00:00"/>
    <x v="6"/>
    <x v="17"/>
    <s v="Employee"/>
    <s v="5"/>
    <s v="ORCL IN OSSI"/>
    <s v="504526 - 96V:GSC-DB &amp; Options"/>
    <s v="09B3"/>
    <s v="Y"/>
    <s v="N"/>
    <s v="Unrecognized"/>
    <m/>
    <s v="AED"/>
    <m/>
    <m/>
    <n v="2098.41"/>
    <n v="0"/>
    <n v="0"/>
    <n v="0"/>
    <n v="2098.41"/>
    <s v="For Travel - DEL-AUH-DEL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069453"/>
    <s v="AIREXP_307376_969838"/>
    <s v="7.01.00"/>
    <s v="FP NB-Non-Billable Expenses"/>
    <s v="Expense"/>
    <s v="CN-C"/>
    <d v="2026-02-11T00:00:00"/>
    <x v="6"/>
    <x v="31"/>
    <s v="Employee"/>
    <s v="6"/>
    <s v="ORCL IN OSSI"/>
    <s v="504506 - 94V:GSC-eStudio"/>
    <s v="09B2"/>
    <s v="Y"/>
    <s v="N"/>
    <s v="Unrecognized"/>
    <m/>
    <s v="AED"/>
    <m/>
    <m/>
    <n v="1354.34"/>
    <n v="0"/>
    <n v="0"/>
    <n v="0"/>
    <n v="1354.34"/>
    <s v="For Travel - HYD-AUH-HYD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069451"/>
    <s v="AIREXP_307252_969801"/>
    <s v="7.01.00"/>
    <s v="FP NB-Non-Billable Expenses"/>
    <s v="Expense"/>
    <s v="CN-C"/>
    <d v="2026-02-12T00:00:00"/>
    <x v="6"/>
    <x v="27"/>
    <s v="Employee"/>
    <s v="6"/>
    <s v="ORCL IN OSSI"/>
    <s v="504526 - 96V:GSC-DB &amp; Options"/>
    <s v="09B4"/>
    <s v="Y"/>
    <s v="N"/>
    <s v="Unrecognized"/>
    <m/>
    <s v="AED"/>
    <m/>
    <m/>
    <n v="1371.1"/>
    <n v="0"/>
    <n v="0"/>
    <n v="0"/>
    <n v="1371.1"/>
    <s v="For Travel - BOM-AUH-BOM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4069452"/>
    <s v="AIREXP_307432_969813"/>
    <s v="7.01.00"/>
    <s v="FP NB-Non-Billable Expenses"/>
    <s v="Expense"/>
    <s v="CN-C"/>
    <d v="2026-02-12T00:00:00"/>
    <x v="6"/>
    <x v="19"/>
    <s v="Employee"/>
    <s v="4"/>
    <s v="ORCL IN OSSI"/>
    <s v="504526 - 96V:GSC-DB &amp; Options"/>
    <s v="09B4"/>
    <s v="Y"/>
    <s v="N"/>
    <s v="Unrecognized"/>
    <m/>
    <s v="AED"/>
    <m/>
    <m/>
    <n v="1371.1"/>
    <n v="0"/>
    <n v="0"/>
    <n v="0"/>
    <n v="1371.1"/>
    <s v="For Travel - BOM-AUH-BOM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135225"/>
    <s v="253646148"/>
    <s v="7.01.00"/>
    <s v="FP NB-Non-Billable Expenses"/>
    <s v="Expense"/>
    <s v="CN-C"/>
    <d v="2026-02-16T00:00:00"/>
    <x v="7"/>
    <x v="19"/>
    <s v="Employee"/>
    <s v="4"/>
    <s v="ORCL IN OSSI"/>
    <s v="504526 - 96V:GSC-DB &amp; Options"/>
    <s v="09B4"/>
    <s v="Y"/>
    <s v="N"/>
    <s v="Unrecognized"/>
    <m/>
    <s v="AED"/>
    <m/>
    <m/>
    <n v="487.15"/>
    <n v="0"/>
    <n v="0"/>
    <n v="0"/>
    <n v="487.15"/>
    <s v="Visa Fee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28"/>
    <s v="254446513"/>
    <s v="7.01.00"/>
    <s v="FP NB-Non-Billable Expenses"/>
    <s v="Expense"/>
    <s v="CN-C"/>
    <d v="2026-02-19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0.04"/>
    <n v="0"/>
    <n v="0"/>
    <n v="0"/>
    <n v="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37"/>
    <s v="254446514"/>
    <s v="7.01.00"/>
    <s v="FP NB-Non-Billable Expenses"/>
    <s v="Expense"/>
    <s v="CN-C"/>
    <d v="2026-02-19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0.04"/>
    <n v="0"/>
    <n v="0"/>
    <n v="0"/>
    <n v="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38"/>
    <s v="254446515"/>
    <s v="7.01.00"/>
    <s v="FP NB-Non-Billable Expenses"/>
    <s v="Expense"/>
    <s v="CN-C"/>
    <d v="2026-02-19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0.04"/>
    <n v="0"/>
    <n v="0"/>
    <n v="0"/>
    <n v="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39"/>
    <s v="254446516"/>
    <s v="7.01.00"/>
    <s v="FP NB-Non-Billable Expenses"/>
    <s v="Expense"/>
    <s v="CN-C"/>
    <d v="2026-02-19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0.04"/>
    <n v="0"/>
    <n v="0"/>
    <n v="0"/>
    <n v="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133698"/>
    <s v="253645310"/>
    <s v="7.01.00"/>
    <s v="FP NB-Non-Billable Expenses"/>
    <s v="Expense"/>
    <s v="CN-C"/>
    <d v="2026-02-20T00:00:00"/>
    <x v="7"/>
    <x v="17"/>
    <s v="Employee"/>
    <s v="5"/>
    <s v="ORCL IN OSSI"/>
    <s v="504526 - 96V:GSC-DB &amp; Options"/>
    <s v="09B3"/>
    <s v="Y"/>
    <s v="N"/>
    <s v="Unrecognized"/>
    <m/>
    <s v="AED"/>
    <m/>
    <m/>
    <n v="486.73"/>
    <n v="0"/>
    <n v="0"/>
    <n v="0"/>
    <n v="486.73"/>
    <s v="Visa Fee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40"/>
    <s v="254446517"/>
    <s v="7.01.00"/>
    <s v="FP NB-Non-Billable Expenses"/>
    <s v="Expense"/>
    <s v="CN-C"/>
    <d v="2026-02-20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0.04"/>
    <n v="0"/>
    <n v="0"/>
    <n v="0"/>
    <n v="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044"/>
    <s v="254446522"/>
    <s v="7.01.00"/>
    <s v="FP NB-Non-Billable Expenses"/>
    <s v="Expense"/>
    <s v="CN-C"/>
    <d v="2026-02-23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-0.04"/>
    <n v="0"/>
    <n v="0"/>
    <n v="0"/>
    <n v="-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42"/>
    <s v="254446519"/>
    <s v="7.01.00"/>
    <s v="FP NB-Non-Billable Expenses"/>
    <s v="Expense"/>
    <s v="CN-C"/>
    <d v="2026-02-23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-0.04"/>
    <n v="0"/>
    <n v="0"/>
    <n v="0"/>
    <n v="-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43"/>
    <s v="254446520"/>
    <s v="7.01.00"/>
    <s v="FP NB-Non-Billable Expenses"/>
    <s v="Expense"/>
    <s v="CN-C"/>
    <d v="2026-02-23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-0.04"/>
    <n v="0"/>
    <n v="0"/>
    <n v="0"/>
    <n v="-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144"/>
    <s v="254446521"/>
    <s v="7.01.00"/>
    <s v="FP NB-Non-Billable Expenses"/>
    <s v="Expense"/>
    <s v="CN-C"/>
    <d v="2026-02-23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-0.04"/>
    <n v="0"/>
    <n v="0"/>
    <n v="0"/>
    <n v="-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040"/>
    <s v="254446523"/>
    <s v="7.01.00"/>
    <s v="FP NB-Non-Billable Expenses"/>
    <s v="Expense"/>
    <s v="CN-C"/>
    <d v="2026-02-24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-0.04"/>
    <n v="0"/>
    <n v="0"/>
    <n v="0"/>
    <n v="-0.04"/>
    <s v="NA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88041"/>
    <s v="254446524"/>
    <s v="7.01.00"/>
    <s v="FP NB-Non-Billable Expenses"/>
    <s v="Expense"/>
    <s v="CN-C"/>
    <d v="2026-03-03T00:00:00"/>
    <x v="9"/>
    <x v="17"/>
    <s v="Employee"/>
    <s v="5"/>
    <s v="ORCL IN OSSI"/>
    <s v="504526 - 96V:GSC-DB &amp; Options"/>
    <s v="09B3"/>
    <s v="Y"/>
    <s v="N"/>
    <s v="Unrecognized"/>
    <m/>
    <s v="AED"/>
    <m/>
    <m/>
    <n v="-485.34"/>
    <n v="0"/>
    <n v="0"/>
    <n v="0"/>
    <n v="-485.34"/>
    <s v="refunded amount from CWT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01090"/>
    <s v="254331130"/>
    <s v="7.01.00"/>
    <s v="FP NB-Non-Billable Expenses"/>
    <s v="Expense"/>
    <s v="CN-C"/>
    <d v="2026-03-09T00:00:00"/>
    <x v="10"/>
    <x v="0"/>
    <s v="Employee"/>
    <s v="7"/>
    <s v="ORCL AE"/>
    <s v="509505 - 75M: EMEA Digital - PaaS"/>
    <s v="0069"/>
    <s v="Y"/>
    <s v="N"/>
    <s v="Unrecognized"/>
    <m/>
    <s v="AED"/>
    <m/>
    <m/>
    <n v="950"/>
    <n v="0"/>
    <n v="0"/>
    <n v="0"/>
    <n v="950"/>
    <s v="Team Meal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05701091"/>
    <s v="254331226"/>
    <s v="7.01.00"/>
    <s v="FP NB-Non-Billable Expenses"/>
    <s v="Expense"/>
    <s v="CN-C"/>
    <d v="2026-03-09T00:00:00"/>
    <x v="10"/>
    <x v="0"/>
    <s v="Employee"/>
    <s v="7"/>
    <s v="ORCL AE"/>
    <s v="509505 - 75M: EMEA Digital - PaaS"/>
    <s v="0069"/>
    <s v="Y"/>
    <s v="N"/>
    <s v="Unrecognized"/>
    <m/>
    <s v="AED"/>
    <m/>
    <m/>
    <n v="0"/>
    <n v="0"/>
    <n v="0"/>
    <n v="0"/>
    <n v="0"/>
    <s v="Team Meal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0246668"/>
    <s v="258603007"/>
    <s v="7.01.00"/>
    <s v="FP NB-Non-Billable Expenses"/>
    <s v="Expense"/>
    <s v="CN-C"/>
    <d v="2026-04-30T00:00:00"/>
    <x v="17"/>
    <x v="0"/>
    <s v="Employee"/>
    <s v="7"/>
    <s v="ORCL AE"/>
    <s v="509505 - 75M: EMEA Digital - PaaS"/>
    <s v="0069"/>
    <s v="Y"/>
    <s v="N"/>
    <s v="Unrecognized"/>
    <m/>
    <s v="AED"/>
    <m/>
    <m/>
    <n v="150"/>
    <n v="0"/>
    <n v="0"/>
    <n v="0"/>
    <n v="150"/>
    <s v="e&amp; meeting in Abu Dhabi Office with Ahmed Haleemah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0246669"/>
    <s v="258603070"/>
    <s v="7.01.00"/>
    <s v="FP NB-Non-Billable Expenses"/>
    <s v="Expense"/>
    <s v="CN-C"/>
    <d v="2026-04-30T00:00:00"/>
    <x v="17"/>
    <x v="0"/>
    <s v="Employee"/>
    <s v="7"/>
    <s v="ORCL AE"/>
    <s v="509505 - 75M: EMEA Digital - PaaS"/>
    <s v="0069"/>
    <s v="Y"/>
    <s v="N"/>
    <s v="Unrecognized"/>
    <m/>
    <s v="AED"/>
    <m/>
    <m/>
    <n v="0"/>
    <n v="0"/>
    <n v="0"/>
    <n v="0"/>
    <n v="0"/>
    <s v="e&amp; meeting in Abu Dhabi Office with Ahmed Haleemah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0246674"/>
    <s v="258603010"/>
    <s v="7.01.00"/>
    <s v="FP NB-Non-Billable Expenses"/>
    <s v="Expense"/>
    <s v="CN-C"/>
    <d v="2026-04-30T00:00:00"/>
    <x v="18"/>
    <x v="0"/>
    <s v="Employee"/>
    <s v="7"/>
    <s v="ORCL AE"/>
    <s v="509505 - 75M: EMEA Digital - PaaS"/>
    <s v="0069"/>
    <s v="Y"/>
    <s v="N"/>
    <s v="Unrecognized"/>
    <m/>
    <s v="AED"/>
    <m/>
    <m/>
    <n v="2420"/>
    <n v="0"/>
    <n v="0"/>
    <n v="0"/>
    <n v="2420"/>
    <s v="Team dinn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0246677"/>
    <s v="258603042"/>
    <s v="7.01.00"/>
    <s v="FP NB-Non-Billable Expenses"/>
    <s v="Expense"/>
    <s v="CN-C"/>
    <d v="2026-04-30T00:00:00"/>
    <x v="18"/>
    <x v="0"/>
    <s v="Employee"/>
    <s v="7"/>
    <s v="ORCL AE"/>
    <s v="509505 - 75M: EMEA Digital - PaaS"/>
    <s v="0069"/>
    <s v="Y"/>
    <s v="N"/>
    <s v="Unrecognized"/>
    <m/>
    <s v="AED"/>
    <m/>
    <m/>
    <n v="0"/>
    <n v="0"/>
    <n v="0"/>
    <n v="0"/>
    <n v="0"/>
    <s v="Team dinner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0782550"/>
    <s v="259094642"/>
    <s v="7.01.00"/>
    <s v="FP NB-Non-Billable Expenses"/>
    <s v="Expense"/>
    <s v="CN-C"/>
    <d v="2026-05-10T00:00:00"/>
    <x v="19"/>
    <x v="9"/>
    <s v="Employee"/>
    <s v="7"/>
    <s v="ORCL AE"/>
    <s v="509505 - 75M: EMEA Digital - PaaS"/>
    <s v="0069"/>
    <s v="Y"/>
    <s v="N"/>
    <s v="Unrecognized"/>
    <m/>
    <s v="AED"/>
    <m/>
    <m/>
    <n v="685.55"/>
    <n v="0"/>
    <n v="0"/>
    <n v="0"/>
    <n v="685.55"/>
    <s v="Team Dinner to prepare etisalat meeting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0782575"/>
    <s v="259095242"/>
    <s v="7.01.00"/>
    <s v="FP NB-Non-Billable Expenses"/>
    <s v="Expense"/>
    <s v="CN-C"/>
    <d v="2026-05-10T00:00:00"/>
    <x v="19"/>
    <x v="9"/>
    <s v="Employee"/>
    <s v="7"/>
    <s v="ORCL AE"/>
    <s v="509505 - 75M: EMEA Digital - PaaS"/>
    <s v="0069"/>
    <s v="Y"/>
    <s v="N"/>
    <s v="Unrecognized"/>
    <m/>
    <s v="AED"/>
    <m/>
    <m/>
    <n v="0"/>
    <n v="0"/>
    <n v="0"/>
    <n v="0"/>
    <n v="0"/>
    <s v="Team Dinner to prepare etisalat meeting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2452733"/>
    <s v="260901343"/>
    <s v="7.01.00"/>
    <s v="FP NB-Non-Billable Expenses"/>
    <s v="Expense"/>
    <s v="CN-C"/>
    <d v="2026-05-17T00:00:00"/>
    <x v="30"/>
    <x v="9"/>
    <s v="Employee"/>
    <s v="7"/>
    <s v="ORCL AE"/>
    <s v="509505 - 75M: EMEA Digital - PaaS"/>
    <s v="0069"/>
    <s v="Y"/>
    <s v="N"/>
    <s v="Unrecognized"/>
    <m/>
    <s v="AED"/>
    <m/>
    <m/>
    <n v="226.8"/>
    <n v="0"/>
    <n v="0"/>
    <n v="0"/>
    <n v="226.8"/>
    <s v="e&amp; Meeting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2452734"/>
    <s v="260901517"/>
    <s v="7.01.00"/>
    <s v="FP NB-Non-Billable Expenses"/>
    <s v="Expense"/>
    <s v="CN-C"/>
    <d v="2026-05-17T00:00:00"/>
    <x v="30"/>
    <x v="9"/>
    <s v="Employee"/>
    <s v="7"/>
    <s v="ORCL AE"/>
    <s v="509505 - 75M: EMEA Digital - PaaS"/>
    <s v="0069"/>
    <s v="Y"/>
    <s v="N"/>
    <s v="Unrecognized"/>
    <m/>
    <s v="AED"/>
    <m/>
    <m/>
    <n v="0"/>
    <n v="0"/>
    <n v="0"/>
    <n v="0"/>
    <n v="0"/>
    <s v="e&amp; Meeting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6284751"/>
    <s v="AIREXP_365376_1087503"/>
    <s v="7.01.00"/>
    <s v="FP NB-Non-Billable Expenses"/>
    <s v="Expense"/>
    <s v="CN-C"/>
    <d v="2026-07-10T00:00:00"/>
    <x v="23"/>
    <x v="17"/>
    <s v="Employee"/>
    <s v="5"/>
    <s v="ORCL IN OSSI"/>
    <s v="504526 - 96V:GSC-DB &amp; Options"/>
    <s v="09B3"/>
    <s v="Y"/>
    <s v="N"/>
    <s v="Unrecognized"/>
    <m/>
    <s v="AED"/>
    <m/>
    <m/>
    <n v="2029.65"/>
    <n v="0"/>
    <n v="0"/>
    <n v="0"/>
    <n v="2029.65"/>
    <s v="For Travel - DEL-AUH-DEL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7767976"/>
    <s v="AIREXP_369623_1087504"/>
    <s v="7.01.00"/>
    <s v="FP NB-Non-Billable Expenses"/>
    <s v="Expense"/>
    <s v="CN-C"/>
    <d v="2026-07-10T00:00:00"/>
    <x v="23"/>
    <x v="17"/>
    <s v="Employee"/>
    <s v="5"/>
    <s v="ORCL IN OSSI"/>
    <s v="504526 - 96V:GSC-DB &amp; Options"/>
    <s v="09B3"/>
    <s v="Y"/>
    <s v="N"/>
    <s v="Unrecognized"/>
    <m/>
    <s v="AED"/>
    <m/>
    <m/>
    <n v="-158.69"/>
    <n v="0"/>
    <n v="0"/>
    <n v="0"/>
    <n v="-158.69"/>
    <s v="For Travel - DEL-AUH-DEL"/>
  </r>
  <r>
    <s v="ORCL AE"/>
    <s v="0069"/>
    <s v="501646 - E6M-EMEA Tech Delivery - IaaS"/>
    <s v="400268181"/>
    <x v="0"/>
    <m/>
    <s v="FP"/>
    <s v="Active"/>
    <s v="ali.omar.hasan@oracle.com"/>
    <s v="Emirates Telecommunications Group Company P.J.S.C (Etisalat)"/>
    <s v="300907319"/>
    <s v="A57DJN _FP Etisalat TECH   DRCC WL Migration cloud_400268181"/>
    <m/>
    <m/>
    <s v="216860732"/>
    <s v="264148995"/>
    <s v="7.01.00"/>
    <s v="FP NB-Non-Billable Expenses"/>
    <s v="Expense"/>
    <s v="CN-C"/>
    <d v="2026-07-13T00:00:00"/>
    <x v="24"/>
    <x v="17"/>
    <s v="Employee"/>
    <s v="5"/>
    <s v="ORCL IN OSSI"/>
    <s v="504526 - 96V:GSC-DB &amp; Options"/>
    <s v="09B3"/>
    <s v="Y"/>
    <s v="N"/>
    <s v="Unrecognized"/>
    <m/>
    <s v="AED"/>
    <m/>
    <m/>
    <n v="463.01"/>
    <n v="0"/>
    <n v="0"/>
    <n v="0"/>
    <n v="463.01"/>
    <s v="Visa Fee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8"/>
    <s v="ORCL QA-1784791752068-214025"/>
    <s v="1.01.01"/>
    <s v="FP Labor -Primary Billable Cost"/>
    <s v="Labor"/>
    <s v="CO-C"/>
    <d v="2026-05-11T00:00:00"/>
    <x v="19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1"/>
    <s v="ORCL QA-1784791901921-214026"/>
    <s v="1.01.01"/>
    <s v="FP Labor -Primary Billable Cost"/>
    <s v="Labor"/>
    <s v="CO-C"/>
    <d v="2026-05-12T00:00:00"/>
    <x v="19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08"/>
    <s v="ORCL QA-1784791909280-214045"/>
    <s v="1.01.01"/>
    <s v="FP Labor -Primary Billable Cost"/>
    <s v="Labor"/>
    <s v="CO-C"/>
    <d v="2026-05-13T00:00:00"/>
    <x v="19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4"/>
    <s v="ORCL QA-1784791913820-214046"/>
    <s v="1.01.01"/>
    <s v="FP Labor -Primary Billable Cost"/>
    <s v="Labor"/>
    <s v="CO-C"/>
    <d v="2026-05-14T00:00:00"/>
    <x v="19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2"/>
    <s v="ORCL AE-1784899018366-214405"/>
    <s v="1.01.01"/>
    <s v="FP Labor -Primary Billable Cost"/>
    <s v="Labor"/>
    <s v="CO-C"/>
    <d v="2026-05-15T00:00:00"/>
    <x v="19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90239"/>
    <s v="RT_Gamal, Marwa _2026-05-15_ TIM_01"/>
    <s v="1.01.01"/>
    <s v="FP Labor -Primary Billable Cost"/>
    <s v="Labor"/>
    <s v="CO-C"/>
    <d v="2026-05-15T00:00:00"/>
    <x v="19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2"/>
    <s v="ORCL QA-1784791918545-214047"/>
    <s v="1.01.01"/>
    <s v="FP Labor -Primary Billable Cost"/>
    <s v="Labor"/>
    <s v="CO-C"/>
    <d v="2026-05-15T00:00:00"/>
    <x v="19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9"/>
    <s v="ORCL AE-1784902482847-214425"/>
    <s v="1.01.01"/>
    <s v="FP Labor -Primary Billable Cost"/>
    <s v="Labor"/>
    <s v="CO-C"/>
    <d v="2026-05-16T00:00:00"/>
    <x v="30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601992"/>
    <s v="RT_Gamal, Marwa _2026-05-22_ TIM_01"/>
    <s v="1.01.01"/>
    <s v="FP Labor -Primary Billable Cost"/>
    <s v="Labor"/>
    <s v="CO-C"/>
    <d v="2026-05-16T00:00:00"/>
    <x v="30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5"/>
    <s v="ORCL QA-1784791926105-214048"/>
    <s v="1.01.01"/>
    <s v="FP Labor -Primary Billable Cost"/>
    <s v="Labor"/>
    <s v="CO-C"/>
    <d v="2026-05-16T00:00:00"/>
    <x v="30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59"/>
    <s v="ORCL AE-1784902486433-214426"/>
    <s v="1.01.01"/>
    <s v="FP Labor -Primary Billable Cost"/>
    <s v="Labor"/>
    <s v="CO-C"/>
    <d v="2026-05-17T00:00:00"/>
    <x v="30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601994"/>
    <s v="RT_Gamal, Marwa _2026-05-22_ TIM_03"/>
    <s v="1.01.01"/>
    <s v="FP Labor -Primary Billable Cost"/>
    <s v="Labor"/>
    <s v="CO-C"/>
    <d v="2026-05-17T00:00:00"/>
    <x v="30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7"/>
    <s v="ORCL QA-1784791926942-214027"/>
    <s v="1.01.01"/>
    <s v="FP Labor -Primary Billable Cost"/>
    <s v="Labor"/>
    <s v="CO-C"/>
    <d v="2026-05-17T00:00:00"/>
    <x v="30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1"/>
    <s v="ORCL AE-1784902489125-214445"/>
    <s v="1.01.01"/>
    <s v="FP Labor -Primary Billable Cost"/>
    <s v="Labor"/>
    <s v="CO-C"/>
    <d v="2026-05-18T00:00:00"/>
    <x v="30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601996"/>
    <s v="RT_Gamal, Marwa _2026-05-22_ TIM_04"/>
    <s v="1.01.01"/>
    <s v="FP Labor -Primary Billable Cost"/>
    <s v="Labor"/>
    <s v="CO-C"/>
    <d v="2026-05-18T00:00:00"/>
    <x v="30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6"/>
    <s v="ORCL QA-1784791932297-214049"/>
    <s v="1.01.01"/>
    <s v="FP Labor -Primary Billable Cost"/>
    <s v="Labor"/>
    <s v="CO-C"/>
    <d v="2026-05-18T00:00:00"/>
    <x v="30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5"/>
    <s v="ORCL AE-1784902492346-214427"/>
    <s v="1.01.01"/>
    <s v="FP Labor -Primary Billable Cost"/>
    <s v="Labor"/>
    <s v="CO-C"/>
    <d v="2026-05-19T00:00:00"/>
    <x v="30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601991"/>
    <s v="RT_Gamal, Marwa _2026-05-22_ TIM_05"/>
    <s v="1.01.01"/>
    <s v="FP Labor -Primary Billable Cost"/>
    <s v="Labor"/>
    <s v="CO-C"/>
    <d v="2026-05-19T00:00:00"/>
    <x v="30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9"/>
    <s v="ORCL QA-1784791986601-214028"/>
    <s v="1.01.01"/>
    <s v="FP Labor -Primary Billable Cost"/>
    <s v="Labor"/>
    <s v="CO-C"/>
    <d v="2026-05-19T00:00:00"/>
    <x v="30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4"/>
    <s v="ORCL AE-1784902494532-214446"/>
    <s v="1.01.01"/>
    <s v="FP Labor -Primary Billable Cost"/>
    <s v="Labor"/>
    <s v="CO-C"/>
    <d v="2026-05-20T00:00:00"/>
    <x v="30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601995"/>
    <s v="RT_Gamal, Marwa _2026-05-22_ TIM_06"/>
    <s v="1.01.01"/>
    <s v="FP Labor -Primary Billable Cost"/>
    <s v="Labor"/>
    <s v="CO-C"/>
    <d v="2026-05-20T00:00:00"/>
    <x v="30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1"/>
    <s v="ORCL QA-1784791992085-214065"/>
    <s v="1.01.01"/>
    <s v="FP Labor -Primary Billable Cost"/>
    <s v="Labor"/>
    <s v="CO-C"/>
    <d v="2026-05-20T00:00:00"/>
    <x v="30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7"/>
    <s v="ORCL AE-1784902496870-214447"/>
    <s v="1.01.01"/>
    <s v="FP Labor -Primary Billable Cost"/>
    <s v="Labor"/>
    <s v="CO-C"/>
    <d v="2026-05-21T00:00:00"/>
    <x v="30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601993"/>
    <s v="RT_Gamal, Marwa _2026-05-22_ TIM_07"/>
    <s v="1.01.01"/>
    <s v="FP Labor -Primary Billable Cost"/>
    <s v="Labor"/>
    <s v="CO-C"/>
    <d v="2026-05-21T00:00:00"/>
    <x v="30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0"/>
    <s v="ORCL QA-1784791996935-214029"/>
    <s v="1.01.01"/>
    <s v="FP Labor -Primary Billable Cost"/>
    <s v="Labor"/>
    <s v="CO-C"/>
    <d v="2026-05-21T00:00:00"/>
    <x v="30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73"/>
    <s v="ORCL AE-1784902499090-214428"/>
    <s v="1.01.01"/>
    <s v="FP Labor -Primary Billable Cost"/>
    <s v="Labor"/>
    <s v="CO-C"/>
    <d v="2026-05-22T00:00:00"/>
    <x v="30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601990"/>
    <s v="RT_Gamal, Marwa _2026-05-22_ TIM_08"/>
    <s v="1.01.01"/>
    <s v="FP Labor -Primary Billable Cost"/>
    <s v="Labor"/>
    <s v="CO-C"/>
    <d v="2026-05-22T00:00:00"/>
    <x v="30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5"/>
    <s v="ORCL QA-1784791999868-214066"/>
    <s v="1.01.01"/>
    <s v="FP Labor -Primary Billable Cost"/>
    <s v="Labor"/>
    <s v="CO-C"/>
    <d v="2026-05-22T00:00:00"/>
    <x v="30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57"/>
    <s v="ORCL AE-1784902501029-214429"/>
    <s v="1.01.01"/>
    <s v="FP Labor -Primary Billable Cost"/>
    <s v="Labor"/>
    <s v="CO-C"/>
    <d v="2026-05-23T00:00:00"/>
    <x v="31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67603"/>
    <s v="RT_Gamal, Marwa _2026-05-29_ TIM_01"/>
    <s v="1.01.01"/>
    <s v="FP Labor -Primary Billable Cost"/>
    <s v="Labor"/>
    <s v="CO-C"/>
    <d v="2026-05-23T00:00:00"/>
    <x v="31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6"/>
    <s v="ORCL QA-1784792002795-214067"/>
    <s v="1.01.01"/>
    <s v="FP Labor -Primary Billable Cost"/>
    <s v="Labor"/>
    <s v="CO-C"/>
    <d v="2026-05-23T00:00:00"/>
    <x v="31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71"/>
    <s v="ORCL AE-1784902506214-214448"/>
    <s v="1.01.01"/>
    <s v="FP Labor -Primary Billable Cost"/>
    <s v="Labor"/>
    <s v="CO-C"/>
    <d v="2026-05-24T00:00:00"/>
    <x v="31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67605"/>
    <s v="RT_Gamal, Marwa _2026-05-29_ TIM_02"/>
    <s v="1.01.01"/>
    <s v="FP Labor -Primary Billable Cost"/>
    <s v="Labor"/>
    <s v="CO-C"/>
    <d v="2026-05-24T00:00:00"/>
    <x v="31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4"/>
    <s v="ORCL QA-1784792006181-214068"/>
    <s v="1.01.01"/>
    <s v="FP Labor -Primary Billable Cost"/>
    <s v="Labor"/>
    <s v="CO-C"/>
    <d v="2026-05-24T00:00:00"/>
    <x v="31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70"/>
    <s v="ORCL AE-1784902510309-214430"/>
    <s v="1.01.01"/>
    <s v="FP Labor -Primary Billable Cost"/>
    <s v="Labor"/>
    <s v="CO-C"/>
    <d v="2026-05-25T00:00:00"/>
    <x v="31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67606"/>
    <s v="RT_Gamal, Marwa _2026-05-29_ TIM_03"/>
    <s v="1.01.01"/>
    <s v="FP Labor -Primary Billable Cost"/>
    <s v="Labor"/>
    <s v="CO-C"/>
    <d v="2026-05-25T00:00:00"/>
    <x v="31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3"/>
    <s v="ORCL QA-1784792537082-214030"/>
    <s v="1.01.01"/>
    <s v="FP Labor -Primary Billable Cost"/>
    <s v="Labor"/>
    <s v="CO-C"/>
    <d v="2026-05-25T00:00:00"/>
    <x v="31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3"/>
    <s v="ORCL AE-1784902514493-214431"/>
    <s v="1.01.01"/>
    <s v="FP Labor -Primary Billable Cost"/>
    <s v="Labor"/>
    <s v="CO-C"/>
    <d v="2026-05-26T00:00:00"/>
    <x v="31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67601"/>
    <s v="RT_Gamal, Marwa _2026-05-29_ TIM_05"/>
    <s v="1.01.01"/>
    <s v="FP Labor -Primary Billable Cost"/>
    <s v="Labor"/>
    <s v="CO-C"/>
    <d v="2026-05-26T00:00:00"/>
    <x v="31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3"/>
    <s v="ORCL QA-1784792547567-214069"/>
    <s v="1.01.01"/>
    <s v="FP Labor -Primary Billable Cost"/>
    <s v="Labor"/>
    <s v="CO-C"/>
    <d v="2026-05-26T00:00:00"/>
    <x v="31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72"/>
    <s v="ORCL AE-1784902518468-214449"/>
    <s v="1.01.01"/>
    <s v="FP Labor -Primary Billable Cost"/>
    <s v="Labor"/>
    <s v="CO-C"/>
    <d v="2026-05-27T00:00:00"/>
    <x v="31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67602"/>
    <s v="RT_Gamal, Marwa _2026-05-29_ TIM_07"/>
    <s v="1.01.01"/>
    <s v="FP Labor -Primary Billable Cost"/>
    <s v="Labor"/>
    <s v="CO-C"/>
    <d v="2026-05-27T00:00:00"/>
    <x v="31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2"/>
    <s v="ORCL QA-1784792555190-214070"/>
    <s v="1.01.01"/>
    <s v="FP Labor -Primary Billable Cost"/>
    <s v="Labor"/>
    <s v="CO-C"/>
    <d v="2026-05-27T00:00:00"/>
    <x v="31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8"/>
    <s v="ORCL AE-1784902521810-214450"/>
    <s v="1.01.01"/>
    <s v="FP Labor -Primary Billable Cost"/>
    <s v="Labor"/>
    <s v="CO-C"/>
    <d v="2026-05-28T00:00:00"/>
    <x v="31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67604"/>
    <s v="RT_Gamal, Marwa _2026-05-29_ TIM_08"/>
    <s v="1.01.01"/>
    <s v="FP Labor -Primary Billable Cost"/>
    <s v="Labor"/>
    <s v="CO-C"/>
    <d v="2026-05-28T00:00:00"/>
    <x v="31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09"/>
    <s v="ORCL QA-1784792708659-214031"/>
    <s v="1.01.01"/>
    <s v="FP Labor -Primary Billable Cost"/>
    <s v="Labor"/>
    <s v="CO-C"/>
    <d v="2026-05-28T00:00:00"/>
    <x v="31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58"/>
    <s v="ORCL AE-1784902525182-214432"/>
    <s v="1.01.01"/>
    <s v="FP Labor -Primary Billable Cost"/>
    <s v="Labor"/>
    <s v="CO-C"/>
    <d v="2026-05-29T00:00:00"/>
    <x v="31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67607"/>
    <s v="RT_Gamal, Marwa _2026-05-29_ TIM_09"/>
    <s v="1.01.01"/>
    <s v="FP Labor -Primary Billable Cost"/>
    <s v="Labor"/>
    <s v="CO-C"/>
    <d v="2026-05-29T00:00:00"/>
    <x v="31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9"/>
    <s v="ORCL QA-1784792710024-214032"/>
    <s v="1.01.01"/>
    <s v="FP Labor -Primary Billable Cost"/>
    <s v="Labor"/>
    <s v="CO-C"/>
    <d v="2026-05-29T00:00:00"/>
    <x v="31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66"/>
    <s v="ORCL AE-1784902528358-214451"/>
    <s v="1.01.01"/>
    <s v="FP Labor -Primary Billable Cost"/>
    <s v="Labor"/>
    <s v="CO-C"/>
    <d v="2026-05-30T00:00:00"/>
    <x v="28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80504"/>
    <s v="RT_Gamal, Marwa _2026-06-05_ TIM_01"/>
    <s v="1.01.01"/>
    <s v="FP Labor -Primary Billable Cost"/>
    <s v="Labor"/>
    <s v="CO-C"/>
    <d v="2026-05-30T00:00:00"/>
    <x v="28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17"/>
    <s v="ORCL QA-1784792713552-214085"/>
    <s v="1.01.01"/>
    <s v="FP Labor -Primary Billable Cost"/>
    <s v="Labor"/>
    <s v="CO-C"/>
    <d v="2026-05-30T00:00:00"/>
    <x v="28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530174"/>
    <s v="ORCL AE-1784902531899-214433"/>
    <s v="1.01.01"/>
    <s v="FP Labor -Primary Billable Cost"/>
    <s v="Labor"/>
    <s v="CO-C"/>
    <d v="2026-05-31T00:00:00"/>
    <x v="28"/>
    <x v="39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580505"/>
    <s v="RT_Gamal, Marwa _2026-06-05_ TIM_02"/>
    <s v="1.01.01"/>
    <s v="FP Labor -Primary Billable Cost"/>
    <s v="Labor"/>
    <s v="CO-C"/>
    <d v="2026-05-31T00:00:00"/>
    <x v="28"/>
    <x v="39"/>
    <s v="Billable Contractor"/>
    <m/>
    <s v="ORCL AE"/>
    <s v="509335 - U3K-EMEA Tech Delivery - PaaS"/>
    <s v="0069"/>
    <s v="Y"/>
    <s v="Y"/>
    <s v="Unrecognized"/>
    <n v="-8"/>
    <s v="AED"/>
    <n v="331.25"/>
    <n v="542.25"/>
    <n v="-2650"/>
    <n v="0"/>
    <n v="-4338"/>
    <n v="0"/>
    <n v="0"/>
    <s v="Reverse Time  "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7528"/>
    <s v="ORCL QA-1784792716320-214033"/>
    <s v="1.01.01"/>
    <s v="FP Labor -Primary Billable Cost"/>
    <s v="Labor"/>
    <s v="CO-C"/>
    <d v="2026-05-31T00:00:00"/>
    <x v="28"/>
    <x v="38"/>
    <s v="Billable Contractor"/>
    <m/>
    <s v="ORCL AE"/>
    <s v="509335 - U3K-EMEA Tech Delivery - PaaS"/>
    <s v="0069"/>
    <s v="Y"/>
    <s v="Y"/>
    <s v="Unrecognized"/>
    <n v="8"/>
    <s v="AED"/>
    <n v="331.25"/>
    <n v="542.25"/>
    <n v="2650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792"/>
    <s v="3029667232617041"/>
    <s v="1.01.01"/>
    <s v="FP Labor -Primary Billable Cost"/>
    <s v="Labor"/>
    <s v="CO-C"/>
    <d v="2026-06-01T00:00:00"/>
    <x v="28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790"/>
    <s v="3029667232617061"/>
    <s v="1.01.01"/>
    <s v="FP Labor -Primary Billable Cost"/>
    <s v="Labor"/>
    <s v="CO-C"/>
    <d v="2026-06-02T00:00:00"/>
    <x v="28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788"/>
    <s v="3029667232617081"/>
    <s v="1.01.01"/>
    <s v="FP Labor -Primary Billable Cost"/>
    <s v="Labor"/>
    <s v="CO-C"/>
    <d v="2026-06-03T00:00:00"/>
    <x v="28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786"/>
    <s v="3029667232617101"/>
    <s v="1.01.01"/>
    <s v="FP Labor -Primary Billable Cost"/>
    <s v="Labor"/>
    <s v="CO-C"/>
    <d v="2026-06-04T00:00:00"/>
    <x v="28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784"/>
    <s v="3029667232617121"/>
    <s v="1.01.01"/>
    <s v="FP Labor -Primary Billable Cost"/>
    <s v="Labor"/>
    <s v="CO-C"/>
    <d v="2026-06-05T00:00:00"/>
    <x v="28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313372"/>
    <s v="3029667234995891"/>
    <s v="1.01.01"/>
    <s v="FP Labor -Primary Billable Cost"/>
    <s v="Labor"/>
    <s v="CO-C"/>
    <d v="2026-06-08T00:00:00"/>
    <x v="29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313370"/>
    <s v="3029667234995911"/>
    <s v="1.01.01"/>
    <s v="FP Labor -Primary Billable Cost"/>
    <s v="Labor"/>
    <s v="CO-C"/>
    <d v="2026-06-09T00:00:00"/>
    <x v="29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313368"/>
    <s v="3029667234995931"/>
    <s v="1.01.01"/>
    <s v="FP Labor -Primary Billable Cost"/>
    <s v="Labor"/>
    <s v="CO-C"/>
    <d v="2026-06-10T00:00:00"/>
    <x v="29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816"/>
    <s v="3029667234995951"/>
    <s v="1.01.01"/>
    <s v="FP Labor -Primary Billable Cost"/>
    <s v="Labor"/>
    <s v="CO-C"/>
    <d v="2026-06-11T00:00:00"/>
    <x v="29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814"/>
    <s v="3029667234995971"/>
    <s v="1.01.01"/>
    <s v="FP Labor -Primary Billable Cost"/>
    <s v="Labor"/>
    <s v="CO-C"/>
    <d v="2026-06-12T00:00:00"/>
    <x v="29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469"/>
    <s v="3029667064892601"/>
    <s v="1.01.01"/>
    <s v="FP Labor -Primary Billable Cost"/>
    <s v="Labor"/>
    <s v="CO-C"/>
    <d v="2026-06-15T00:00:00"/>
    <x v="20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3748"/>
    <s v="3029666946220231"/>
    <s v="1.01.01"/>
    <s v="FP Labor -Primary Billable Cost"/>
    <s v="Labor"/>
    <s v="CO-C"/>
    <d v="2026-06-15T00:00:00"/>
    <x v="20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472"/>
    <s v="3029667064892621"/>
    <s v="1.01.01"/>
    <s v="FP Labor -Primary Billable Cost"/>
    <s v="Labor"/>
    <s v="CO-C"/>
    <d v="2026-06-16T00:00:00"/>
    <x v="20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3738"/>
    <s v="3029666946220251"/>
    <s v="1.01.01"/>
    <s v="FP Labor -Primary Billable Cost"/>
    <s v="Labor"/>
    <s v="CO-C"/>
    <d v="2026-06-16T00:00:00"/>
    <x v="20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471"/>
    <s v="3029667064892641"/>
    <s v="1.01.01"/>
    <s v="FP Labor -Primary Billable Cost"/>
    <s v="Labor"/>
    <s v="CO-C"/>
    <d v="2026-06-17T00:00:00"/>
    <x v="20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3743"/>
    <s v="3029666946220271"/>
    <s v="1.01.01"/>
    <s v="FP Labor -Primary Billable Cost"/>
    <s v="Labor"/>
    <s v="CO-C"/>
    <d v="2026-06-17T00:00:00"/>
    <x v="20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470"/>
    <s v="3029667064892661"/>
    <s v="1.01.01"/>
    <s v="FP Labor -Primary Billable Cost"/>
    <s v="Labor"/>
    <s v="CO-C"/>
    <d v="2026-06-18T00:00:00"/>
    <x v="20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3742"/>
    <s v="3029666946220291"/>
    <s v="1.01.01"/>
    <s v="FP Labor -Primary Billable Cost"/>
    <s v="Labor"/>
    <s v="CO-C"/>
    <d v="2026-06-18T00:00:00"/>
    <x v="20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452"/>
    <s v="3029667064892681"/>
    <s v="1.01.01"/>
    <s v="FP Labor -Primary Billable Cost"/>
    <s v="Labor"/>
    <s v="CO-C"/>
    <d v="2026-06-19T00:00:00"/>
    <x v="20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3741"/>
    <s v="3029666946220311"/>
    <s v="1.01.01"/>
    <s v="FP Labor -Primary Billable Cost"/>
    <s v="Labor"/>
    <s v="CO-C"/>
    <d v="2026-06-19T00:00:00"/>
    <x v="20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397"/>
    <s v="3029667062084031"/>
    <s v="1.01.01"/>
    <s v="FP Labor -Primary Billable Cost"/>
    <s v="Labor"/>
    <s v="CO-C"/>
    <d v="2026-06-22T00:00:00"/>
    <x v="21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3839"/>
    <s v="3029666947571301"/>
    <s v="1.01.01"/>
    <s v="FP Labor -Primary Billable Cost"/>
    <s v="Labor"/>
    <s v="CO-C"/>
    <d v="2026-06-22T00:00:00"/>
    <x v="21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396"/>
    <s v="3029667062084051"/>
    <s v="1.01.01"/>
    <s v="FP Labor -Primary Billable Cost"/>
    <s v="Labor"/>
    <s v="CO-C"/>
    <d v="2026-06-23T00:00:00"/>
    <x v="21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4078"/>
    <s v="3029666947571321"/>
    <s v="1.01.01"/>
    <s v="FP Labor -Primary Billable Cost"/>
    <s v="Labor"/>
    <s v="CO-C"/>
    <d v="2026-06-23T00:00:00"/>
    <x v="21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395"/>
    <s v="3029667062084071"/>
    <s v="1.01.01"/>
    <s v="FP Labor -Primary Billable Cost"/>
    <s v="Labor"/>
    <s v="CO-C"/>
    <d v="2026-06-24T00:00:00"/>
    <x v="21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4077"/>
    <s v="3029666947571341"/>
    <s v="1.01.01"/>
    <s v="FP Labor -Primary Billable Cost"/>
    <s v="Labor"/>
    <s v="CO-C"/>
    <d v="2026-06-24T00:00:00"/>
    <x v="21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393"/>
    <s v="3029667062084091"/>
    <s v="1.01.01"/>
    <s v="FP Labor -Primary Billable Cost"/>
    <s v="Labor"/>
    <s v="CO-C"/>
    <d v="2026-06-25T00:00:00"/>
    <x v="21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644076"/>
    <s v="3029666947571361"/>
    <s v="1.01.01"/>
    <s v="FP Labor -Primary Billable Cost"/>
    <s v="Labor"/>
    <s v="CO-C"/>
    <d v="2026-06-25T00:00:00"/>
    <x v="21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392"/>
    <s v="3029667062084111"/>
    <s v="1.01.01"/>
    <s v="FP Labor -Primary Billable Cost"/>
    <s v="Labor"/>
    <s v="CO-C"/>
    <d v="2026-06-26T00:00:00"/>
    <x v="21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3712280"/>
    <s v="3029666947571381"/>
    <s v="1.01.01"/>
    <s v="FP Labor -Primary Billable Cost"/>
    <s v="Labor"/>
    <s v="CO-C"/>
    <d v="2026-06-26T00:00:00"/>
    <x v="21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034591"/>
    <s v="3029667064452951"/>
    <s v="1.01.01"/>
    <s v="FP Labor -Primary Billable Cost"/>
    <s v="Labor"/>
    <s v="CO-C"/>
    <d v="2026-06-29T00:00:00"/>
    <x v="22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034670"/>
    <s v="3029666948672021"/>
    <s v="1.01.01"/>
    <s v="FP Labor -Primary Billable Cost"/>
    <s v="Labor"/>
    <s v="CO-C"/>
    <d v="2026-06-29T00:00:00"/>
    <x v="22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034592"/>
    <s v="3029667064452971"/>
    <s v="1.01.01"/>
    <s v="FP Labor -Primary Billable Cost"/>
    <s v="Labor"/>
    <s v="CO-C"/>
    <d v="2026-06-30T00:00:00"/>
    <x v="22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034669"/>
    <s v="3029666948672041"/>
    <s v="1.01.01"/>
    <s v="FP Labor -Primary Billable Cost"/>
    <s v="Labor"/>
    <s v="CO-C"/>
    <d v="2026-06-30T00:00:00"/>
    <x v="22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034590"/>
    <s v="3029667064452991"/>
    <s v="1.01.01"/>
    <s v="FP Labor -Primary Billable Cost"/>
    <s v="Labor"/>
    <s v="CO-C"/>
    <d v="2026-07-01T00:00:00"/>
    <x v="22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034649"/>
    <s v="3029666948672061"/>
    <s v="1.01.01"/>
    <s v="FP Labor -Primary Billable Cost"/>
    <s v="Labor"/>
    <s v="CO-C"/>
    <d v="2026-07-01T00:00:00"/>
    <x v="22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034589"/>
    <s v="3029667064453011"/>
    <s v="1.01.01"/>
    <s v="FP Labor -Primary Billable Cost"/>
    <s v="Labor"/>
    <s v="CO-C"/>
    <d v="2026-07-02T00:00:00"/>
    <x v="22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034648"/>
    <s v="3029666948672081"/>
    <s v="1.01.01"/>
    <s v="FP Labor -Primary Billable Cost"/>
    <s v="Labor"/>
    <s v="CO-C"/>
    <d v="2026-07-02T00:00:00"/>
    <x v="22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219680"/>
    <s v="3029667064453031"/>
    <s v="1.01.01"/>
    <s v="FP Labor -Primary Billable Cost"/>
    <s v="Labor"/>
    <s v="CO-C"/>
    <d v="2026-07-03T00:00:00"/>
    <x v="22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219641"/>
    <s v="3029666948672101"/>
    <s v="1.01.01"/>
    <s v="FP Labor -Primary Billable Cost"/>
    <s v="Labor"/>
    <s v="CO-C"/>
    <d v="2026-07-03T00:00:00"/>
    <x v="22"/>
    <x v="38"/>
    <s v="Billable Contractor"/>
    <m/>
    <s v="ORCL AE"/>
    <s v="509335 - U3K-EMEA Tech Delivery - PaaS"/>
    <s v="0069"/>
    <s v="Y"/>
    <s v="Y"/>
    <s v="Unrecognized"/>
    <n v="6"/>
    <s v="AED"/>
    <n v="331.25"/>
    <n v="542.25"/>
    <n v="1987.5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411174"/>
    <s v="3029667064785911"/>
    <s v="1.01.01"/>
    <s v="FP Labor -Primary Billable Cost"/>
    <s v="Labor"/>
    <s v="CO-C"/>
    <d v="2026-07-06T00:00:00"/>
    <x v="23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411336"/>
    <s v="3029666947984421"/>
    <s v="1.01.01"/>
    <s v="FP Labor -Primary Billable Cost"/>
    <s v="Labor"/>
    <s v="CO-C"/>
    <d v="2026-07-06T00:00:00"/>
    <x v="23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479834"/>
    <s v="3029667064785931"/>
    <s v="1.01.01"/>
    <s v="FP Labor -Primary Billable Cost"/>
    <s v="Labor"/>
    <s v="CO-C"/>
    <d v="2026-07-07T00:00:00"/>
    <x v="23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479883"/>
    <s v="3029666947984441"/>
    <s v="1.01.01"/>
    <s v="FP Labor -Primary Billable Cost"/>
    <s v="Labor"/>
    <s v="CO-C"/>
    <d v="2026-07-07T00:00:00"/>
    <x v="23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553782"/>
    <s v="3029667064785951"/>
    <s v="1.01.01"/>
    <s v="FP Labor -Primary Billable Cost"/>
    <s v="Labor"/>
    <s v="CO-C"/>
    <d v="2026-07-08T00:00:00"/>
    <x v="23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553716"/>
    <s v="3029666947984461"/>
    <s v="1.01.01"/>
    <s v="FP Labor -Primary Billable Cost"/>
    <s v="Labor"/>
    <s v="CO-C"/>
    <d v="2026-07-08T00:00:00"/>
    <x v="23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636552"/>
    <s v="3029667064785971"/>
    <s v="1.01.01"/>
    <s v="FP Labor -Primary Billable Cost"/>
    <s v="Labor"/>
    <s v="CO-C"/>
    <d v="2026-07-09T00:00:00"/>
    <x v="23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636413"/>
    <s v="3029666947984481"/>
    <s v="1.01.01"/>
    <s v="FP Labor -Primary Billable Cost"/>
    <s v="Labor"/>
    <s v="CO-C"/>
    <d v="2026-07-09T00:00:00"/>
    <x v="23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756870"/>
    <s v="3029667064785991"/>
    <s v="1.01.01"/>
    <s v="FP Labor -Primary Billable Cost"/>
    <s v="Labor"/>
    <s v="CO-C"/>
    <d v="2026-07-10T00:00:00"/>
    <x v="23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4756951"/>
    <s v="3029666947984501"/>
    <s v="1.01.01"/>
    <s v="FP Labor -Primary Billable Cost"/>
    <s v="Labor"/>
    <s v="CO-C"/>
    <d v="2026-07-10T00:00:00"/>
    <x v="23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18"/>
    <s v="3029667301042713"/>
    <s v="1.01.01"/>
    <s v="FP Labor -Primary Billable Cost"/>
    <s v="Labor"/>
    <s v="CO-C"/>
    <d v="2026-07-13T00:00:00"/>
    <x v="24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033557"/>
    <s v="3029666946453581"/>
    <s v="1.01.01"/>
    <s v="FP Labor -Primary Billable Cost"/>
    <s v="Labor"/>
    <s v="CO-C"/>
    <d v="2026-07-13T00:00:00"/>
    <x v="24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03"/>
    <s v="3029667301042733"/>
    <s v="1.01.01"/>
    <s v="FP Labor -Primary Billable Cost"/>
    <s v="Labor"/>
    <s v="CO-C"/>
    <d v="2026-07-14T00:00:00"/>
    <x v="24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811"/>
    <s v="3029666946453601"/>
    <s v="1.01.01"/>
    <s v="FP Labor -Primary Billable Cost"/>
    <s v="Labor"/>
    <s v="CO-C"/>
    <d v="2026-07-14T00:00:00"/>
    <x v="24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06"/>
    <s v="3029667301042753"/>
    <s v="1.01.01"/>
    <s v="FP Labor -Primary Billable Cost"/>
    <s v="Labor"/>
    <s v="CO-C"/>
    <d v="2026-07-15T00:00:00"/>
    <x v="24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246809"/>
    <s v="3029666946453621"/>
    <s v="1.01.01"/>
    <s v="FP Labor -Primary Billable Cost"/>
    <s v="Labor"/>
    <s v="CO-C"/>
    <d v="2026-07-15T00:00:00"/>
    <x v="24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04"/>
    <s v="3029667301042773"/>
    <s v="1.01.01"/>
    <s v="FP Labor -Primary Billable Cost"/>
    <s v="Labor"/>
    <s v="CO-C"/>
    <d v="2026-07-16T00:00:00"/>
    <x v="24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363279"/>
    <s v="3029666946453641"/>
    <s v="1.01.01"/>
    <s v="FP Labor -Primary Billable Cost"/>
    <s v="Labor"/>
    <s v="CO-C"/>
    <d v="2026-07-16T00:00:00"/>
    <x v="24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440"/>
    <s v="3029667301042793"/>
    <s v="1.01.01"/>
    <s v="FP Labor -Primary Billable Cost"/>
    <s v="Labor"/>
    <s v="CO-C"/>
    <d v="2026-07-17T00:00:00"/>
    <x v="24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500068"/>
    <s v="3029666946453661"/>
    <s v="1.01.01"/>
    <s v="FP Labor -Primary Billable Cost"/>
    <s v="Labor"/>
    <s v="CO-C"/>
    <d v="2026-07-17T00:00:00"/>
    <x v="24"/>
    <x v="38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95"/>
    <s v="3029667062035783"/>
    <s v="1.01.01"/>
    <s v="FP Labor -Primary Billable Cost"/>
    <s v="Labor"/>
    <s v="CO-C"/>
    <d v="2026-07-20T00:00:00"/>
    <x v="25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803848"/>
    <s v="3029666947999051"/>
    <s v="1.01.01"/>
    <s v="FP Labor -Primary Billable Cost"/>
    <s v="Labor"/>
    <s v="CO-C"/>
    <d v="2026-07-20T00:00:00"/>
    <x v="25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93"/>
    <s v="3029667062035803"/>
    <s v="1.01.01"/>
    <s v="FP Labor -Primary Billable Cost"/>
    <s v="Labor"/>
    <s v="CO-C"/>
    <d v="2026-07-21T00:00:00"/>
    <x v="25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896402"/>
    <s v="3029666947999071"/>
    <s v="1.01.01"/>
    <s v="FP Labor -Primary Billable Cost"/>
    <s v="Labor"/>
    <s v="CO-C"/>
    <d v="2026-07-21T00:00:00"/>
    <x v="25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84"/>
    <s v="3029667062035823"/>
    <s v="1.01.01"/>
    <s v="FP Labor -Primary Billable Cost"/>
    <s v="Labor"/>
    <s v="CO-C"/>
    <d v="2026-07-22T00:00:00"/>
    <x v="25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5997704"/>
    <s v="3029666947999091"/>
    <s v="1.01.01"/>
    <s v="FP Labor -Primary Billable Cost"/>
    <s v="Labor"/>
    <s v="CO-C"/>
    <d v="2026-07-22T00:00:00"/>
    <x v="25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82"/>
    <s v="3029667062035843"/>
    <s v="1.01.01"/>
    <s v="FP Labor -Primary Billable Cost"/>
    <s v="Labor"/>
    <s v="CO-C"/>
    <d v="2026-07-23T00:00:00"/>
    <x v="25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113671"/>
    <s v="3029666947999111"/>
    <s v="1.01.01"/>
    <s v="FP Labor -Primary Billable Cost"/>
    <s v="Labor"/>
    <s v="CO-C"/>
    <d v="2026-07-23T00:00:00"/>
    <x v="25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260280"/>
    <s v="3029667062035863"/>
    <s v="1.01.01"/>
    <s v="FP Labor -Primary Billable Cost"/>
    <s v="Labor"/>
    <s v="CO-C"/>
    <d v="2026-07-24T00:00:00"/>
    <x v="25"/>
    <x v="39"/>
    <s v="Billable Contractor"/>
    <m/>
    <s v="ORCL AE"/>
    <s v="509335 - U3K-EMEA Tech Delivery - PaaS"/>
    <s v="0069"/>
    <s v="Y"/>
    <s v="Y"/>
    <s v="Unrecognized"/>
    <n v="5.6"/>
    <s v="AED"/>
    <n v="331.25"/>
    <n v="542.25"/>
    <n v="1855"/>
    <n v="0"/>
    <n v="3036.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290226"/>
    <s v="3029666947999131"/>
    <s v="1.01.01"/>
    <s v="FP Labor -Primary Billable Cost"/>
    <s v="Labor"/>
    <s v="CO-C"/>
    <d v="2026-07-24T00:00:00"/>
    <x v="25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660882"/>
    <s v="3029667068770951"/>
    <s v="1.01.01"/>
    <s v="FP Labor -Primary Billable Cost"/>
    <s v="Labor"/>
    <s v="CO-C"/>
    <d v="2026-07-27T00:00:00"/>
    <x v="26"/>
    <x v="39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660855"/>
    <s v="3029666949102581"/>
    <s v="1.01.01"/>
    <s v="FP Labor -Primary Billable Cost"/>
    <s v="Labor"/>
    <s v="CO-C"/>
    <d v="2026-07-27T00:00:00"/>
    <x v="26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756014"/>
    <s v="3029667068770971"/>
    <s v="1.01.01"/>
    <s v="FP Labor -Primary Billable Cost"/>
    <s v="Labor"/>
    <s v="CO-C"/>
    <d v="2026-07-28T00:00:00"/>
    <x v="26"/>
    <x v="39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756011"/>
    <s v="3029666949102601"/>
    <s v="1.01.01"/>
    <s v="FP Labor -Primary Billable Cost"/>
    <s v="Labor"/>
    <s v="CO-C"/>
    <d v="2026-07-28T00:00:00"/>
    <x v="26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868330"/>
    <s v="3029667068770991"/>
    <s v="1.01.01"/>
    <s v="FP Labor -Primary Billable Cost"/>
    <s v="Labor"/>
    <s v="CO-C"/>
    <d v="2026-07-29T00:00:00"/>
    <x v="26"/>
    <x v="39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6868323"/>
    <s v="3029666949102621"/>
    <s v="1.01.01"/>
    <s v="FP Labor -Primary Billable Cost"/>
    <s v="Labor"/>
    <s v="CO-C"/>
    <d v="2026-07-29T00:00:00"/>
    <x v="26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003791"/>
    <s v="3029667068771011"/>
    <s v="1.01.01"/>
    <s v="FP Labor -Primary Billable Cost"/>
    <s v="Labor"/>
    <s v="CO-C"/>
    <d v="2026-07-30T00:00:00"/>
    <x v="26"/>
    <x v="39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003824"/>
    <s v="3029666949102641"/>
    <s v="1.01.01"/>
    <s v="FP Labor -Primary Billable Cost"/>
    <s v="Labor"/>
    <s v="CO-C"/>
    <d v="2026-07-30T00:00:00"/>
    <x v="26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162762"/>
    <s v="3029667068771031"/>
    <s v="1.01.01"/>
    <s v="FP Labor -Primary Billable Cost"/>
    <s v="Labor"/>
    <s v="CO-C"/>
    <d v="2026-07-31T00:00:00"/>
    <x v="26"/>
    <x v="39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7162678"/>
    <s v="3029666949102661"/>
    <s v="1.01.01"/>
    <s v="FP Labor -Primary Billable Cost"/>
    <s v="Labor"/>
    <s v="CO-C"/>
    <d v="2026-07-31T00:00:00"/>
    <x v="26"/>
    <x v="38"/>
    <s v="Billable Contractor"/>
    <m/>
    <s v="ORCL AE"/>
    <s v="509335 - U3K-EMEA Tech Delivery - PaaS"/>
    <s v="0069"/>
    <s v="Y"/>
    <s v="Y"/>
    <s v="Unrecognized"/>
    <n v="6.4"/>
    <s v="AED"/>
    <n v="331.25"/>
    <n v="542.25"/>
    <n v="2120"/>
    <n v="0"/>
    <n v="3470.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56"/>
    <s v="3029655702150681"/>
    <s v="1.04.01"/>
    <s v="FP Labor - Primary Remote Services Ctr"/>
    <s v="Labor"/>
    <s v="CO-C"/>
    <d v="2026-05-03T00:00:00"/>
    <x v="18"/>
    <x v="4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16"/>
    <s v="3029655766209881"/>
    <s v="1.04.01"/>
    <s v="FP Labor - Primary Remote Services Ctr"/>
    <s v="Labor"/>
    <s v="CO-C"/>
    <d v="2026-05-03T00:00:00"/>
    <x v="18"/>
    <x v="41"/>
    <s v="Billable Contractor"/>
    <m/>
    <s v="ORCL EG"/>
    <s v="509485 - 73M: EMEA Business Analytics - P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493"/>
    <s v="3029653578949542"/>
    <s v="1.04.01"/>
    <s v="FP Labor - Primary Remote Services Ctr"/>
    <s v="Labor"/>
    <s v="CO-C"/>
    <d v="2026-05-04T00:00:00"/>
    <x v="18"/>
    <x v="4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19"/>
    <s v="3029655709274911"/>
    <s v="1.04.01"/>
    <s v="FP Labor - Primary Remote Services Ctr"/>
    <s v="Labor"/>
    <s v="CO-C"/>
    <d v="2026-05-04T00:00:00"/>
    <x v="18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65"/>
    <s v="3029655697847191"/>
    <s v="1.04.01"/>
    <s v="FP Labor - Primary Remote Services Ctr"/>
    <s v="Labor"/>
    <s v="CO-C"/>
    <d v="2026-05-04T00:00:00"/>
    <x v="18"/>
    <x v="43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55"/>
    <s v="3029655702150711"/>
    <s v="1.04.01"/>
    <s v="FP Labor - Primary Remote Services Ctr"/>
    <s v="Labor"/>
    <s v="CO-C"/>
    <d v="2026-05-04T00:00:00"/>
    <x v="18"/>
    <x v="4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27"/>
    <s v="3029655828026011"/>
    <s v="1.04.01"/>
    <s v="FP Labor - Primary Remote Services Ctr"/>
    <s v="Labor"/>
    <s v="CO-C"/>
    <d v="2026-05-04T00:00:00"/>
    <x v="18"/>
    <x v="44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15"/>
    <s v="3029655766209911"/>
    <s v="1.04.01"/>
    <s v="FP Labor - Primary Remote Services Ctr"/>
    <s v="Labor"/>
    <s v="CO-C"/>
    <d v="2026-05-04T00:00:00"/>
    <x v="18"/>
    <x v="41"/>
    <s v="Billable Contractor"/>
    <m/>
    <s v="ORCL EG"/>
    <s v="509485 - 73M: EMEA Business Analytics - P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3825"/>
    <s v="1532559984:4"/>
    <s v="1.04.01"/>
    <s v="FP Labor - Primary Remote Services Ctr"/>
    <s v="Labor"/>
    <s v="CO-C"/>
    <d v="2026-05-04T00:00:00"/>
    <x v="18"/>
    <x v="27"/>
    <s v="Employee"/>
    <s v="6"/>
    <s v="ORCL IN OSSI"/>
    <s v="504526 - 96V:GSC-DB &amp; Options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245"/>
    <s v="1531996581:3"/>
    <s v="1.04.01"/>
    <s v="FP Labor - Primary Remote Services Ctr"/>
    <s v="Labor"/>
    <s v="CO-C"/>
    <d v="2026-05-04T00:00:00"/>
    <x v="18"/>
    <x v="17"/>
    <s v="Employee"/>
    <s v="5"/>
    <s v="ORCL IN OSSI"/>
    <s v="504526 - 96V:GSC-DB &amp; Options"/>
    <s v="09B3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2186"/>
    <s v="1537441047:3"/>
    <s v="1.04.01"/>
    <s v="FP Labor - Primary Remote Services Ctr"/>
    <s v="Labor"/>
    <s v="CO-C"/>
    <d v="2026-05-04T00:00:00"/>
    <x v="18"/>
    <x v="5"/>
    <s v="Employee"/>
    <s v="5"/>
    <s v="ORCL IT"/>
    <s v="503896 - 6FT:EMEA OCS Tech Other Delivery"/>
    <s v="0048"/>
    <s v="Y"/>
    <s v="Y"/>
    <s v="Unrecognized"/>
    <n v="16"/>
    <s v="AED"/>
    <n v="259.35000000000002"/>
    <n v="660.13"/>
    <n v="4149.5600000000004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1564"/>
    <s v="1537049257:2"/>
    <s v="1.04.01"/>
    <s v="FP Labor - Primary Remote Services Ctr"/>
    <s v="Labor"/>
    <s v="CO-C"/>
    <d v="2026-05-04T00:00:00"/>
    <x v="18"/>
    <x v="18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3628"/>
    <s v="1532035643:3"/>
    <s v="1.04.01"/>
    <s v="FP Labor - Primary Remote Services Ctr"/>
    <s v="Labor"/>
    <s v="CO-C"/>
    <d v="2026-05-04T00:00:00"/>
    <x v="18"/>
    <x v="19"/>
    <s v="Employee"/>
    <s v="4"/>
    <s v="ORCL IN OSSI"/>
    <s v="504526 - 96V:GSC-DB &amp; Options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742"/>
    <s v="1537103850:2"/>
    <s v="1.04.01"/>
    <s v="FP Labor - Primary Remote Services Ctr"/>
    <s v="Labor"/>
    <s v="CO-C"/>
    <d v="2026-05-04T00:00:00"/>
    <x v="18"/>
    <x v="20"/>
    <s v="Employee"/>
    <s v="4"/>
    <s v="ORCL IN OSSI"/>
    <s v="504506 - 94V:GSC-eStudio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2991"/>
    <s v="1537075505:2"/>
    <s v="1.04.01"/>
    <s v="FP Labor - Primary Remote Services Ctr"/>
    <s v="Labor"/>
    <s v="CO-C"/>
    <d v="2026-05-04T00:00:00"/>
    <x v="18"/>
    <x v="29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2217"/>
    <s v="1532974394:4"/>
    <s v="1.04.01"/>
    <s v="FP Labor - Primary Remote Services Ctr"/>
    <s v="Labor"/>
    <s v="CO-C"/>
    <d v="2026-05-04T00:00:00"/>
    <x v="18"/>
    <x v="3"/>
    <s v="Employee"/>
    <s v="6"/>
    <s v="ORCL IN OSSI"/>
    <s v="504506 - 94V:GSC-eStudio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056"/>
    <s v="1537109783:2"/>
    <s v="1.04.01"/>
    <s v="FP Labor - Primary Remote Services Ctr"/>
    <s v="Labor"/>
    <s v="CO-C"/>
    <d v="2026-05-04T00:00:00"/>
    <x v="18"/>
    <x v="22"/>
    <s v="Employee"/>
    <s v="6"/>
    <s v="ORCL IN OSSI"/>
    <s v="504526 - 96V:GSC-DB &amp; Options"/>
    <s v="09B2"/>
    <s v="Y"/>
    <s v="Y"/>
    <s v="Unrecognized"/>
    <n v="15"/>
    <s v="AED"/>
    <n v="109.17"/>
    <n v="754.44"/>
    <n v="1637.5"/>
    <n v="0"/>
    <n v="11316.5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018"/>
    <s v="1537726779:4"/>
    <s v="1.04.01"/>
    <s v="FP Labor - Primary Remote Services Ctr"/>
    <s v="Labor"/>
    <s v="CO-C"/>
    <d v="2026-05-04T00:00:00"/>
    <x v="18"/>
    <x v="31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35787"/>
    <s v="3029651911202752"/>
    <s v="1.04.01"/>
    <s v="FP Labor - Primary Remote Services Ctr"/>
    <s v="Labor"/>
    <s v="CO-C"/>
    <d v="2026-05-04T00:00:00"/>
    <x v="18"/>
    <x v="24"/>
    <s v="Billable Contractor"/>
    <m/>
    <s v="ORCL IN OSSI"/>
    <s v="504526 - 96V:GSC-DB &amp; Options"/>
    <s v="009B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41420"/>
    <s v="1537328782:2"/>
    <s v="1.04.01"/>
    <s v="FP Labor - Primary Remote Services Ctr"/>
    <s v="Labor"/>
    <s v="CO-C"/>
    <d v="2026-05-04T00:00:00"/>
    <x v="18"/>
    <x v="25"/>
    <s v="Employee"/>
    <s v="7"/>
    <s v="ORCL IN OSSI"/>
    <s v="504506 - 94V:GSC-eStudio"/>
    <s v="009B"/>
    <s v="Y"/>
    <s v="Y"/>
    <s v="Unrecognized"/>
    <n v="16"/>
    <s v="AED"/>
    <n v="109.17"/>
    <n v="813.38"/>
    <n v="1746.67"/>
    <n v="0"/>
    <n v="13014.0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491"/>
    <s v="3029653578949562"/>
    <s v="1.04.01"/>
    <s v="FP Labor - Primary Remote Services Ctr"/>
    <s v="Labor"/>
    <s v="CO-C"/>
    <d v="2026-05-05T00:00:00"/>
    <x v="18"/>
    <x v="4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18"/>
    <s v="3029655709274941"/>
    <s v="1.04.01"/>
    <s v="FP Labor - Primary Remote Services Ctr"/>
    <s v="Labor"/>
    <s v="CO-C"/>
    <d v="2026-05-05T00:00:00"/>
    <x v="18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63"/>
    <s v="3029655697847211"/>
    <s v="1.04.01"/>
    <s v="FP Labor - Primary Remote Services Ctr"/>
    <s v="Labor"/>
    <s v="CO-C"/>
    <d v="2026-05-05T00:00:00"/>
    <x v="18"/>
    <x v="43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54"/>
    <s v="3029655702150741"/>
    <s v="1.04.01"/>
    <s v="FP Labor - Primary Remote Services Ctr"/>
    <s v="Labor"/>
    <s v="CO-C"/>
    <d v="2026-05-05T00:00:00"/>
    <x v="18"/>
    <x v="4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8029"/>
    <s v="3029655465676951"/>
    <s v="1.04.01"/>
    <s v="FP Labor - Primary Remote Services Ctr"/>
    <s v="Labor"/>
    <s v="CO-C"/>
    <d v="2026-05-05T00:00:00"/>
    <x v="18"/>
    <x v="45"/>
    <s v="Employee"/>
    <s v="5"/>
    <s v="ORCL EG"/>
    <s v="502416 - 3WP-EMEA Delivery Middleware - IaaS"/>
    <s v="008U"/>
    <s v="Y"/>
    <s v="Y"/>
    <s v="Unrecognized"/>
    <n v="6"/>
    <s v="AED"/>
    <n v="55.12"/>
    <n v="660.13"/>
    <n v="330.74"/>
    <n v="0"/>
    <n v="3960.7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26"/>
    <s v="3029655828026041"/>
    <s v="1.04.01"/>
    <s v="FP Labor - Primary Remote Services Ctr"/>
    <s v="Labor"/>
    <s v="CO-C"/>
    <d v="2026-05-05T00:00:00"/>
    <x v="18"/>
    <x v="44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13"/>
    <s v="3029655766209941"/>
    <s v="1.04.01"/>
    <s v="FP Labor - Primary Remote Services Ctr"/>
    <s v="Labor"/>
    <s v="CO-C"/>
    <d v="2026-05-05T00:00:00"/>
    <x v="18"/>
    <x v="41"/>
    <s v="Billable Contractor"/>
    <m/>
    <s v="ORCL EG"/>
    <s v="509485 - 73M: EMEA Business Analytics - P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3884"/>
    <s v="1532559985:4"/>
    <s v="1.04.01"/>
    <s v="FP Labor - Primary Remote Services Ctr"/>
    <s v="Labor"/>
    <s v="CO-C"/>
    <d v="2026-05-05T00:00:00"/>
    <x v="18"/>
    <x v="27"/>
    <s v="Employee"/>
    <s v="6"/>
    <s v="ORCL IN OSSI"/>
    <s v="504526 - 96V:GSC-DB &amp; Options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278"/>
    <s v="1531996582:3"/>
    <s v="1.04.01"/>
    <s v="FP Labor - Primary Remote Services Ctr"/>
    <s v="Labor"/>
    <s v="CO-C"/>
    <d v="2026-05-05T00:00:00"/>
    <x v="18"/>
    <x v="17"/>
    <s v="Employee"/>
    <s v="5"/>
    <s v="ORCL IN OSSI"/>
    <s v="504526 - 96V:GSC-DB &amp; Options"/>
    <s v="09B3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2293"/>
    <s v="1537441049:3"/>
    <s v="1.04.01"/>
    <s v="FP Labor - Primary Remote Services Ctr"/>
    <s v="Labor"/>
    <s v="CO-C"/>
    <d v="2026-05-05T00:00:00"/>
    <x v="18"/>
    <x v="5"/>
    <s v="Employee"/>
    <s v="5"/>
    <s v="ORCL IT"/>
    <s v="503896 - 6FT:EMEA OCS Tech Other Delivery"/>
    <s v="0048"/>
    <s v="Y"/>
    <s v="Y"/>
    <s v="Unrecognized"/>
    <n v="16"/>
    <s v="AED"/>
    <n v="259.35000000000002"/>
    <n v="660.13"/>
    <n v="4149.5600000000004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2811"/>
    <s v="1537049256:2"/>
    <s v="1.04.01"/>
    <s v="FP Labor - Primary Remote Services Ctr"/>
    <s v="Labor"/>
    <s v="CO-C"/>
    <d v="2026-05-05T00:00:00"/>
    <x v="18"/>
    <x v="18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1206"/>
    <s v="1532035644:3"/>
    <s v="1.04.01"/>
    <s v="FP Labor - Primary Remote Services Ctr"/>
    <s v="Labor"/>
    <s v="CO-C"/>
    <d v="2026-05-05T00:00:00"/>
    <x v="18"/>
    <x v="19"/>
    <s v="Employee"/>
    <s v="4"/>
    <s v="ORCL IN OSSI"/>
    <s v="504526 - 96V:GSC-DB &amp; Options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114"/>
    <s v="1537103849:2"/>
    <s v="1.04.01"/>
    <s v="FP Labor - Primary Remote Services Ctr"/>
    <s v="Labor"/>
    <s v="CO-C"/>
    <d v="2026-05-05T00:00:00"/>
    <x v="18"/>
    <x v="20"/>
    <s v="Employee"/>
    <s v="4"/>
    <s v="ORCL IN OSSI"/>
    <s v="504506 - 94V:GSC-eStudio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2849"/>
    <s v="1537075504:2"/>
    <s v="1.04.01"/>
    <s v="FP Labor - Primary Remote Services Ctr"/>
    <s v="Labor"/>
    <s v="CO-C"/>
    <d v="2026-05-05T00:00:00"/>
    <x v="18"/>
    <x v="29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2922"/>
    <s v="1532974395:4"/>
    <s v="1.04.01"/>
    <s v="FP Labor - Primary Remote Services Ctr"/>
    <s v="Labor"/>
    <s v="CO-C"/>
    <d v="2026-05-05T00:00:00"/>
    <x v="18"/>
    <x v="3"/>
    <s v="Employee"/>
    <s v="6"/>
    <s v="ORCL IN OSSI"/>
    <s v="504506 - 94V:GSC-eStudio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3892"/>
    <s v="1537109782:2"/>
    <s v="1.04.01"/>
    <s v="FP Labor - Primary Remote Services Ctr"/>
    <s v="Labor"/>
    <s v="CO-C"/>
    <d v="2026-05-05T00:00:00"/>
    <x v="18"/>
    <x v="22"/>
    <s v="Employee"/>
    <s v="6"/>
    <s v="ORCL IN OSSI"/>
    <s v="504526 - 96V:GSC-DB &amp; Options"/>
    <s v="09B2"/>
    <s v="Y"/>
    <s v="Y"/>
    <s v="Unrecognized"/>
    <n v="15"/>
    <s v="AED"/>
    <n v="109.17"/>
    <n v="754.44"/>
    <n v="1637.5"/>
    <n v="0"/>
    <n v="11316.5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09782601"/>
    <s v="3029640531327054"/>
    <s v="1.04.01"/>
    <s v="FP Labor - Primary Remote Services Ctr"/>
    <s v="Labor"/>
    <s v="CO-C"/>
    <d v="2026-05-05T00:00:00"/>
    <x v="18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107"/>
    <s v="1537726781:4"/>
    <s v="1.04.01"/>
    <s v="FP Labor - Primary Remote Services Ctr"/>
    <s v="Labor"/>
    <s v="CO-C"/>
    <d v="2026-05-05T00:00:00"/>
    <x v="18"/>
    <x v="31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35785"/>
    <s v="3029651911202772"/>
    <s v="1.04.01"/>
    <s v="FP Labor - Primary Remote Services Ctr"/>
    <s v="Labor"/>
    <s v="CO-C"/>
    <d v="2026-05-05T00:00:00"/>
    <x v="18"/>
    <x v="24"/>
    <s v="Billable Contractor"/>
    <m/>
    <s v="ORCL IN OSSI"/>
    <s v="504526 - 96V:GSC-DB &amp; Options"/>
    <s v="009B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40839"/>
    <s v="1537328781:2"/>
    <s v="1.04.01"/>
    <s v="FP Labor - Primary Remote Services Ctr"/>
    <s v="Labor"/>
    <s v="CO-C"/>
    <d v="2026-05-05T00:00:00"/>
    <x v="18"/>
    <x v="25"/>
    <s v="Employee"/>
    <s v="7"/>
    <s v="ORCL IN OSSI"/>
    <s v="504506 - 94V:GSC-eStudio"/>
    <s v="009B"/>
    <s v="Y"/>
    <s v="Y"/>
    <s v="Unrecognized"/>
    <n v="16"/>
    <s v="AED"/>
    <n v="109.17"/>
    <n v="813.38"/>
    <n v="1746.67"/>
    <n v="0"/>
    <n v="13014.0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604"/>
    <s v="3029653578949582"/>
    <s v="1.04.01"/>
    <s v="FP Labor - Primary Remote Services Ctr"/>
    <s v="Labor"/>
    <s v="CO-C"/>
    <d v="2026-05-06T00:00:00"/>
    <x v="18"/>
    <x v="4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17"/>
    <s v="3029655709274971"/>
    <s v="1.04.01"/>
    <s v="FP Labor - Primary Remote Services Ctr"/>
    <s v="Labor"/>
    <s v="CO-C"/>
    <d v="2026-05-06T00:00:00"/>
    <x v="18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61"/>
    <s v="3029655697847231"/>
    <s v="1.04.01"/>
    <s v="FP Labor - Primary Remote Services Ctr"/>
    <s v="Labor"/>
    <s v="CO-C"/>
    <d v="2026-05-06T00:00:00"/>
    <x v="18"/>
    <x v="43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53"/>
    <s v="3029655702150761"/>
    <s v="1.04.01"/>
    <s v="FP Labor - Primary Remote Services Ctr"/>
    <s v="Labor"/>
    <s v="CO-C"/>
    <d v="2026-05-06T00:00:00"/>
    <x v="18"/>
    <x v="40"/>
    <s v="Billable Contractor"/>
    <m/>
    <s v="ORCL EG"/>
    <s v="502416 - 3WP-EMEA Delivery Middleware - I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8028"/>
    <s v="3029655465676991"/>
    <s v="1.04.01"/>
    <s v="FP Labor - Primary Remote Services Ctr"/>
    <s v="Labor"/>
    <s v="CO-C"/>
    <d v="2026-05-06T00:00:00"/>
    <x v="18"/>
    <x v="45"/>
    <s v="Employee"/>
    <s v="5"/>
    <s v="ORCL EG"/>
    <s v="502416 - 3WP-EMEA Delivery Middleware - IaaS"/>
    <s v="008U"/>
    <s v="Y"/>
    <s v="Y"/>
    <s v="Unrecognized"/>
    <n v="8"/>
    <s v="AED"/>
    <n v="55.12"/>
    <n v="660.13"/>
    <n v="440.98"/>
    <n v="0"/>
    <n v="5281.02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25"/>
    <s v="3029655828026061"/>
    <s v="1.04.01"/>
    <s v="FP Labor - Primary Remote Services Ctr"/>
    <s v="Labor"/>
    <s v="CO-C"/>
    <d v="2026-05-06T00:00:00"/>
    <x v="18"/>
    <x v="44"/>
    <s v="Employee"/>
    <s v="8"/>
    <s v="ORCL EG"/>
    <s v="502416 - 3WP-EMEA Delivery Middleware - IaaS"/>
    <s v="008U"/>
    <s v="Y"/>
    <s v="Y"/>
    <s v="Unrecognized"/>
    <n v="6"/>
    <s v="AED"/>
    <n v="95.91"/>
    <n v="943.05"/>
    <n v="575.45000000000005"/>
    <n v="0"/>
    <n v="5658.2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10"/>
    <s v="3029655766209971"/>
    <s v="1.04.01"/>
    <s v="FP Labor - Primary Remote Services Ctr"/>
    <s v="Labor"/>
    <s v="CO-C"/>
    <d v="2026-05-06T00:00:00"/>
    <x v="18"/>
    <x v="41"/>
    <s v="Billable Contractor"/>
    <m/>
    <s v="ORCL EG"/>
    <s v="509485 - 73M: EMEA Business Analytics - P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267"/>
    <s v="1532559986:4"/>
    <s v="1.04.01"/>
    <s v="FP Labor - Primary Remote Services Ctr"/>
    <s v="Labor"/>
    <s v="CO-C"/>
    <d v="2026-05-06T00:00:00"/>
    <x v="18"/>
    <x v="27"/>
    <s v="Employee"/>
    <s v="6"/>
    <s v="ORCL IN OSSI"/>
    <s v="504526 - 96V:GSC-DB &amp; Options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59682"/>
    <s v="3029641145482835"/>
    <s v="1.04.01"/>
    <s v="FP Labor - Primary Remote Services Ctr"/>
    <s v="Labor"/>
    <s v="CO-C"/>
    <d v="2026-05-06T00:00:00"/>
    <x v="18"/>
    <x v="8"/>
    <s v="Billable Contractor"/>
    <m/>
    <s v="ORCL EG"/>
    <s v="509485 - 73M: EMEA Business Analytics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8720"/>
    <s v="1531996583:3"/>
    <s v="1.04.01"/>
    <s v="FP Labor - Primary Remote Services Ctr"/>
    <s v="Labor"/>
    <s v="CO-C"/>
    <d v="2026-05-06T00:00:00"/>
    <x v="18"/>
    <x v="17"/>
    <s v="Employee"/>
    <s v="5"/>
    <s v="ORCL IN OSSI"/>
    <s v="504526 - 96V:GSC-DB &amp; Options"/>
    <s v="09B3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2104"/>
    <s v="1537441051:3"/>
    <s v="1.04.01"/>
    <s v="FP Labor - Primary Remote Services Ctr"/>
    <s v="Labor"/>
    <s v="CO-C"/>
    <d v="2026-05-06T00:00:00"/>
    <x v="18"/>
    <x v="5"/>
    <s v="Employee"/>
    <s v="5"/>
    <s v="ORCL IT"/>
    <s v="503896 - 6FT:EMEA OCS Tech Other Delivery"/>
    <s v="0048"/>
    <s v="Y"/>
    <s v="Y"/>
    <s v="Unrecognized"/>
    <n v="16"/>
    <s v="AED"/>
    <n v="259.35000000000002"/>
    <n v="660.13"/>
    <n v="4149.5600000000004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4040"/>
    <s v="1537049255:2"/>
    <s v="1.04.01"/>
    <s v="FP Labor - Primary Remote Services Ctr"/>
    <s v="Labor"/>
    <s v="CO-C"/>
    <d v="2026-05-06T00:00:00"/>
    <x v="18"/>
    <x v="18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2431"/>
    <s v="1532035645:3"/>
    <s v="1.04.01"/>
    <s v="FP Labor - Primary Remote Services Ctr"/>
    <s v="Labor"/>
    <s v="CO-C"/>
    <d v="2026-05-06T00:00:00"/>
    <x v="18"/>
    <x v="19"/>
    <s v="Employee"/>
    <s v="4"/>
    <s v="ORCL IN OSSI"/>
    <s v="504526 - 96V:GSC-DB &amp; Options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025"/>
    <s v="1537103848:2"/>
    <s v="1.04.01"/>
    <s v="FP Labor - Primary Remote Services Ctr"/>
    <s v="Labor"/>
    <s v="CO-C"/>
    <d v="2026-05-06T00:00:00"/>
    <x v="18"/>
    <x v="20"/>
    <s v="Employee"/>
    <s v="4"/>
    <s v="ORCL IN OSSI"/>
    <s v="504506 - 94V:GSC-eStudio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1434"/>
    <s v="1537075503:2"/>
    <s v="1.04.01"/>
    <s v="FP Labor - Primary Remote Services Ctr"/>
    <s v="Labor"/>
    <s v="CO-C"/>
    <d v="2026-05-06T00:00:00"/>
    <x v="18"/>
    <x v="29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1961"/>
    <s v="1532974396:4"/>
    <s v="1.04.01"/>
    <s v="FP Labor - Primary Remote Services Ctr"/>
    <s v="Labor"/>
    <s v="CO-C"/>
    <d v="2026-05-06T00:00:00"/>
    <x v="18"/>
    <x v="3"/>
    <s v="Employee"/>
    <s v="6"/>
    <s v="ORCL IN OSSI"/>
    <s v="504506 - 94V:GSC-eStudio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057"/>
    <s v="1537109781:2"/>
    <s v="1.04.01"/>
    <s v="FP Labor - Primary Remote Services Ctr"/>
    <s v="Labor"/>
    <s v="CO-C"/>
    <d v="2026-05-06T00:00:00"/>
    <x v="18"/>
    <x v="22"/>
    <s v="Employee"/>
    <s v="6"/>
    <s v="ORCL IN OSSI"/>
    <s v="504526 - 96V:GSC-DB &amp; Options"/>
    <s v="09B2"/>
    <s v="Y"/>
    <s v="Y"/>
    <s v="Unrecognized"/>
    <n v="15"/>
    <s v="AED"/>
    <n v="109.17"/>
    <n v="754.44"/>
    <n v="1637.5"/>
    <n v="0"/>
    <n v="11316.5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3955"/>
    <s v="1537726783:4"/>
    <s v="1.04.01"/>
    <s v="FP Labor - Primary Remote Services Ctr"/>
    <s v="Labor"/>
    <s v="CO-C"/>
    <d v="2026-05-06T00:00:00"/>
    <x v="18"/>
    <x v="31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35783"/>
    <s v="3029651911202792"/>
    <s v="1.04.01"/>
    <s v="FP Labor - Primary Remote Services Ctr"/>
    <s v="Labor"/>
    <s v="CO-C"/>
    <d v="2026-05-06T00:00:00"/>
    <x v="18"/>
    <x v="24"/>
    <s v="Billable Contractor"/>
    <m/>
    <s v="ORCL IN OSSI"/>
    <s v="504526 - 96V:GSC-DB &amp; Options"/>
    <s v="009B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39423"/>
    <s v="1537328780:2"/>
    <s v="1.04.01"/>
    <s v="FP Labor - Primary Remote Services Ctr"/>
    <s v="Labor"/>
    <s v="CO-C"/>
    <d v="2026-05-06T00:00:00"/>
    <x v="18"/>
    <x v="25"/>
    <s v="Employee"/>
    <s v="7"/>
    <s v="ORCL IN OSSI"/>
    <s v="504506 - 94V:GSC-eStudio"/>
    <s v="009B"/>
    <s v="Y"/>
    <s v="Y"/>
    <s v="Unrecognized"/>
    <n v="16"/>
    <s v="AED"/>
    <n v="109.17"/>
    <n v="813.38"/>
    <n v="1746.67"/>
    <n v="0"/>
    <n v="13014.0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603"/>
    <s v="3029655797580121"/>
    <s v="1.04.01"/>
    <s v="FP Labor - Primary Remote Services Ctr"/>
    <s v="Labor"/>
    <s v="CO-C"/>
    <d v="2026-05-07T00:00:00"/>
    <x v="18"/>
    <x v="42"/>
    <s v="Billable Contractor"/>
    <m/>
    <s v="ORCL EG"/>
    <s v="509485 - 73M: EMEA Business Analytics - P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13"/>
    <s v="3029655709275011"/>
    <s v="1.04.01"/>
    <s v="FP Labor - Primary Remote Services Ctr"/>
    <s v="Labor"/>
    <s v="CO-C"/>
    <d v="2026-05-07T00:00:00"/>
    <x v="18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58"/>
    <s v="3029655697847261"/>
    <s v="1.04.01"/>
    <s v="FP Labor - Primary Remote Services Ctr"/>
    <s v="Labor"/>
    <s v="CO-C"/>
    <d v="2026-05-07T00:00:00"/>
    <x v="18"/>
    <x v="43"/>
    <s v="Billable Contractor"/>
    <m/>
    <s v="ORCL EG"/>
    <s v="509485 - 73M: EMEA Business Analytics - P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8015"/>
    <s v="3029655465677021"/>
    <s v="1.04.01"/>
    <s v="FP Labor - Primary Remote Services Ctr"/>
    <s v="Labor"/>
    <s v="CO-C"/>
    <d v="2026-05-07T00:00:00"/>
    <x v="18"/>
    <x v="45"/>
    <s v="Employee"/>
    <s v="5"/>
    <s v="ORCL EG"/>
    <s v="502416 - 3WP-EMEA Delivery Middleware - IaaS"/>
    <s v="008U"/>
    <s v="Y"/>
    <s v="Y"/>
    <s v="Unrecognized"/>
    <n v="8"/>
    <s v="AED"/>
    <n v="55.12"/>
    <n v="660.13"/>
    <n v="440.98"/>
    <n v="0"/>
    <n v="5281.02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24"/>
    <s v="3029655828026101"/>
    <s v="1.04.01"/>
    <s v="FP Labor - Primary Remote Services Ctr"/>
    <s v="Labor"/>
    <s v="CO-C"/>
    <d v="2026-05-07T00:00:00"/>
    <x v="18"/>
    <x v="44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07"/>
    <s v="3029655766210001"/>
    <s v="1.04.01"/>
    <s v="FP Labor - Primary Remote Services Ctr"/>
    <s v="Labor"/>
    <s v="CO-C"/>
    <d v="2026-05-07T00:00:00"/>
    <x v="18"/>
    <x v="41"/>
    <s v="Billable Contractor"/>
    <m/>
    <s v="ORCL EG"/>
    <s v="509485 - 73M: EMEA Business Analytics - P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668"/>
    <s v="1532559987:4"/>
    <s v="1.04.01"/>
    <s v="FP Labor - Primary Remote Services Ctr"/>
    <s v="Labor"/>
    <s v="CO-C"/>
    <d v="2026-05-07T00:00:00"/>
    <x v="18"/>
    <x v="27"/>
    <s v="Employee"/>
    <s v="6"/>
    <s v="ORCL IN OSSI"/>
    <s v="504526 - 96V:GSC-DB &amp; Options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59681"/>
    <s v="3029641145482855"/>
    <s v="1.04.01"/>
    <s v="FP Labor - Primary Remote Services Ctr"/>
    <s v="Labor"/>
    <s v="CO-C"/>
    <d v="2026-05-07T00:00:00"/>
    <x v="18"/>
    <x v="8"/>
    <s v="Billable Contractor"/>
    <m/>
    <s v="ORCL EG"/>
    <s v="509485 - 73M: EMEA Business Analytics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383"/>
    <s v="1531996584:3"/>
    <s v="1.04.01"/>
    <s v="FP Labor - Primary Remote Services Ctr"/>
    <s v="Labor"/>
    <s v="CO-C"/>
    <d v="2026-05-07T00:00:00"/>
    <x v="18"/>
    <x v="17"/>
    <s v="Employee"/>
    <s v="5"/>
    <s v="ORCL IN OSSI"/>
    <s v="504526 - 96V:GSC-DB &amp; Options"/>
    <s v="09B3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2231"/>
    <s v="1537441053:3"/>
    <s v="1.04.01"/>
    <s v="FP Labor - Primary Remote Services Ctr"/>
    <s v="Labor"/>
    <s v="CO-C"/>
    <d v="2026-05-07T00:00:00"/>
    <x v="18"/>
    <x v="5"/>
    <s v="Employee"/>
    <s v="5"/>
    <s v="ORCL IT"/>
    <s v="503896 - 6FT:EMEA OCS Tech Other Delivery"/>
    <s v="0048"/>
    <s v="Y"/>
    <s v="Y"/>
    <s v="Unrecognized"/>
    <n v="16"/>
    <s v="AED"/>
    <n v="259.35000000000002"/>
    <n v="660.13"/>
    <n v="4149.5600000000004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3679"/>
    <s v="1537049254:2"/>
    <s v="1.04.01"/>
    <s v="FP Labor - Primary Remote Services Ctr"/>
    <s v="Labor"/>
    <s v="CO-C"/>
    <d v="2026-05-07T00:00:00"/>
    <x v="18"/>
    <x v="18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2094"/>
    <s v="1532035646:3"/>
    <s v="1.04.01"/>
    <s v="FP Labor - Primary Remote Services Ctr"/>
    <s v="Labor"/>
    <s v="CO-C"/>
    <d v="2026-05-07T00:00:00"/>
    <x v="18"/>
    <x v="19"/>
    <s v="Employee"/>
    <s v="4"/>
    <s v="ORCL IN OSSI"/>
    <s v="504526 - 96V:GSC-DB &amp; Options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3833"/>
    <s v="1537103847:2"/>
    <s v="1.04.01"/>
    <s v="FP Labor - Primary Remote Services Ctr"/>
    <s v="Labor"/>
    <s v="CO-C"/>
    <d v="2026-05-07T00:00:00"/>
    <x v="18"/>
    <x v="20"/>
    <s v="Employee"/>
    <s v="4"/>
    <s v="ORCL IN OSSI"/>
    <s v="504506 - 94V:GSC-eStudio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1993"/>
    <s v="1537075502:2"/>
    <s v="1.04.01"/>
    <s v="FP Labor - Primary Remote Services Ctr"/>
    <s v="Labor"/>
    <s v="CO-C"/>
    <d v="2026-05-07T00:00:00"/>
    <x v="18"/>
    <x v="29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2062"/>
    <s v="1532974397:4"/>
    <s v="1.04.01"/>
    <s v="FP Labor - Primary Remote Services Ctr"/>
    <s v="Labor"/>
    <s v="CO-C"/>
    <d v="2026-05-07T00:00:00"/>
    <x v="18"/>
    <x v="3"/>
    <s v="Employee"/>
    <s v="6"/>
    <s v="ORCL IN OSSI"/>
    <s v="504506 - 94V:GSC-eStudio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8730"/>
    <s v="1537109780:2"/>
    <s v="1.04.01"/>
    <s v="FP Labor - Primary Remote Services Ctr"/>
    <s v="Labor"/>
    <s v="CO-C"/>
    <d v="2026-05-07T00:00:00"/>
    <x v="18"/>
    <x v="22"/>
    <s v="Employee"/>
    <s v="6"/>
    <s v="ORCL IN OSSI"/>
    <s v="504526 - 96V:GSC-DB &amp; Options"/>
    <s v="09B2"/>
    <s v="Y"/>
    <s v="Y"/>
    <s v="Unrecognized"/>
    <n v="15"/>
    <s v="AED"/>
    <n v="109.17"/>
    <n v="754.44"/>
    <n v="1637.5"/>
    <n v="0"/>
    <n v="11316.5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8871"/>
    <s v="1537726785:4"/>
    <s v="1.04.01"/>
    <s v="FP Labor - Primary Remote Services Ctr"/>
    <s v="Labor"/>
    <s v="CO-C"/>
    <d v="2026-05-07T00:00:00"/>
    <x v="18"/>
    <x v="31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35781"/>
    <s v="3029651911202812"/>
    <s v="1.04.01"/>
    <s v="FP Labor - Primary Remote Services Ctr"/>
    <s v="Labor"/>
    <s v="CO-C"/>
    <d v="2026-05-07T00:00:00"/>
    <x v="18"/>
    <x v="24"/>
    <s v="Billable Contractor"/>
    <m/>
    <s v="ORCL IN OSSI"/>
    <s v="504526 - 96V:GSC-DB &amp; Options"/>
    <s v="009B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42735"/>
    <s v="1537328779:2"/>
    <s v="1.04.01"/>
    <s v="FP Labor - Primary Remote Services Ctr"/>
    <s v="Labor"/>
    <s v="CO-C"/>
    <d v="2026-05-07T00:00:00"/>
    <x v="18"/>
    <x v="25"/>
    <s v="Employee"/>
    <s v="7"/>
    <s v="ORCL IN OSSI"/>
    <s v="504506 - 94V:GSC-eStudio"/>
    <s v="009B"/>
    <s v="Y"/>
    <s v="Y"/>
    <s v="Unrecognized"/>
    <n v="16"/>
    <s v="AED"/>
    <n v="109.17"/>
    <n v="813.38"/>
    <n v="1746.67"/>
    <n v="0"/>
    <n v="13014.0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12"/>
    <s v="3029655709275031"/>
    <s v="1.04.01"/>
    <s v="FP Labor - Primary Remote Services Ctr"/>
    <s v="Labor"/>
    <s v="CO-C"/>
    <d v="2026-05-08T00:00:00"/>
    <x v="18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8014"/>
    <s v="3029655465677051"/>
    <s v="1.04.01"/>
    <s v="FP Labor - Primary Remote Services Ctr"/>
    <s v="Labor"/>
    <s v="CO-C"/>
    <d v="2026-05-08T00:00:00"/>
    <x v="18"/>
    <x v="45"/>
    <s v="Employee"/>
    <s v="5"/>
    <s v="ORCL EG"/>
    <s v="502416 - 3WP-EMEA Delivery Middleware - IaaS"/>
    <s v="008U"/>
    <s v="Y"/>
    <s v="Y"/>
    <s v="Unrecognized"/>
    <n v="8"/>
    <s v="AED"/>
    <n v="55.12"/>
    <n v="660.13"/>
    <n v="440.98"/>
    <n v="0"/>
    <n v="5281.02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8659"/>
    <s v="1532559988:4"/>
    <s v="1.04.01"/>
    <s v="FP Labor - Primary Remote Services Ctr"/>
    <s v="Labor"/>
    <s v="CO-C"/>
    <d v="2026-05-08T00:00:00"/>
    <x v="18"/>
    <x v="27"/>
    <s v="Employee"/>
    <s v="6"/>
    <s v="ORCL IN OSSI"/>
    <s v="504526 - 96V:GSC-DB &amp; Options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8894"/>
    <s v="1531996585:3"/>
    <s v="1.04.01"/>
    <s v="FP Labor - Primary Remote Services Ctr"/>
    <s v="Labor"/>
    <s v="CO-C"/>
    <d v="2026-05-08T00:00:00"/>
    <x v="18"/>
    <x v="17"/>
    <s v="Employee"/>
    <s v="5"/>
    <s v="ORCL IN OSSI"/>
    <s v="504526 - 96V:GSC-DB &amp; Options"/>
    <s v="09B3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2096"/>
    <s v="1537441045:3"/>
    <s v="1.04.01"/>
    <s v="FP Labor - Primary Remote Services Ctr"/>
    <s v="Labor"/>
    <s v="CO-C"/>
    <d v="2026-05-08T00:00:00"/>
    <x v="18"/>
    <x v="5"/>
    <s v="Employee"/>
    <s v="5"/>
    <s v="ORCL IT"/>
    <s v="503896 - 6FT:EMEA OCS Tech Other Delivery"/>
    <s v="0048"/>
    <s v="Y"/>
    <s v="Y"/>
    <s v="Unrecognized"/>
    <n v="16"/>
    <s v="AED"/>
    <n v="259.35000000000002"/>
    <n v="660.13"/>
    <n v="4149.5600000000004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1632"/>
    <s v="1537049253:2"/>
    <s v="1.04.01"/>
    <s v="FP Labor - Primary Remote Services Ctr"/>
    <s v="Labor"/>
    <s v="CO-C"/>
    <d v="2026-05-08T00:00:00"/>
    <x v="18"/>
    <x v="18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1897"/>
    <s v="1532035647:3"/>
    <s v="1.04.01"/>
    <s v="FP Labor - Primary Remote Services Ctr"/>
    <s v="Labor"/>
    <s v="CO-C"/>
    <d v="2026-05-08T00:00:00"/>
    <x v="18"/>
    <x v="19"/>
    <s v="Employee"/>
    <s v="4"/>
    <s v="ORCL IN OSSI"/>
    <s v="504526 - 96V:GSC-DB &amp; Options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390"/>
    <s v="1537103846:2"/>
    <s v="1.04.01"/>
    <s v="FP Labor - Primary Remote Services Ctr"/>
    <s v="Labor"/>
    <s v="CO-C"/>
    <d v="2026-05-08T00:00:00"/>
    <x v="18"/>
    <x v="20"/>
    <s v="Employee"/>
    <s v="4"/>
    <s v="ORCL IN OSSI"/>
    <s v="504506 - 94V:GSC-eStudio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62853"/>
    <s v="1537075501:2"/>
    <s v="1.04.01"/>
    <s v="FP Labor - Primary Remote Services Ctr"/>
    <s v="Labor"/>
    <s v="CO-C"/>
    <d v="2026-05-08T00:00:00"/>
    <x v="18"/>
    <x v="29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3208"/>
    <s v="1532974398:4"/>
    <s v="1.04.01"/>
    <s v="FP Labor - Primary Remote Services Ctr"/>
    <s v="Labor"/>
    <s v="CO-C"/>
    <d v="2026-05-08T00:00:00"/>
    <x v="18"/>
    <x v="3"/>
    <s v="Employee"/>
    <s v="6"/>
    <s v="ORCL IN OSSI"/>
    <s v="504506 - 94V:GSC-eStudio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158"/>
    <s v="1537109779:2"/>
    <s v="1.04.01"/>
    <s v="FP Labor - Primary Remote Services Ctr"/>
    <s v="Labor"/>
    <s v="CO-C"/>
    <d v="2026-05-08T00:00:00"/>
    <x v="18"/>
    <x v="22"/>
    <s v="Employee"/>
    <s v="6"/>
    <s v="ORCL IN OSSI"/>
    <s v="504526 - 96V:GSC-DB &amp; Options"/>
    <s v="09B2"/>
    <s v="Y"/>
    <s v="Y"/>
    <s v="Unrecognized"/>
    <n v="20"/>
    <s v="AED"/>
    <n v="109.17"/>
    <n v="754.44"/>
    <n v="2183.34"/>
    <n v="0"/>
    <n v="15088.71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59746"/>
    <s v="3029653487383491"/>
    <s v="1.04.01"/>
    <s v="FP Labor - Primary Remote Services Ctr"/>
    <s v="Labor"/>
    <s v="CO-C"/>
    <d v="2026-05-08T00:00:00"/>
    <x v="18"/>
    <x v="2"/>
    <s v="Billable Contractor"/>
    <m/>
    <s v="ORCL EG"/>
    <s v="509485 - 73M: EMEA Business Analytics - P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625"/>
    <s v="1537726777:4"/>
    <s v="1.04.01"/>
    <s v="FP Labor - Primary Remote Services Ctr"/>
    <s v="Labor"/>
    <s v="CO-C"/>
    <d v="2026-05-08T00:00:00"/>
    <x v="18"/>
    <x v="31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35779"/>
    <s v="3029651911202832"/>
    <s v="1.04.01"/>
    <s v="FP Labor - Primary Remote Services Ctr"/>
    <s v="Labor"/>
    <s v="CO-C"/>
    <d v="2026-05-08T00:00:00"/>
    <x v="18"/>
    <x v="24"/>
    <s v="Billable Contractor"/>
    <m/>
    <s v="ORCL IN OSSI"/>
    <s v="504526 - 96V:GSC-DB &amp; Options"/>
    <s v="009B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39672"/>
    <s v="1537328778:2"/>
    <s v="1.04.01"/>
    <s v="FP Labor - Primary Remote Services Ctr"/>
    <s v="Labor"/>
    <s v="CO-C"/>
    <d v="2026-05-08T00:00:00"/>
    <x v="18"/>
    <x v="25"/>
    <s v="Employee"/>
    <s v="7"/>
    <s v="ORCL IN OSSI"/>
    <s v="504506 - 94V:GSC-eStudio"/>
    <s v="009B"/>
    <s v="Y"/>
    <s v="Y"/>
    <s v="Unrecognized"/>
    <n v="16"/>
    <s v="AED"/>
    <n v="109.17"/>
    <n v="813.38"/>
    <n v="1746.67"/>
    <n v="0"/>
    <n v="13014.04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087"/>
    <s v="1538366537:1"/>
    <s v="1.04.01"/>
    <s v="FP Labor - Primary Remote Services Ctr"/>
    <s v="Labor"/>
    <s v="CO-C"/>
    <d v="2026-05-09T00:00:00"/>
    <x v="19"/>
    <x v="22"/>
    <s v="Employee"/>
    <s v="6"/>
    <s v="ORCL IN OSSI"/>
    <s v="504526 - 96V:GSC-DB &amp; Options"/>
    <s v="09B2"/>
    <s v="Y"/>
    <s v="Y"/>
    <s v="Unrecognized"/>
    <n v="10"/>
    <s v="AED"/>
    <n v="109.17"/>
    <n v="754.44"/>
    <n v="1091.67"/>
    <n v="0"/>
    <n v="7544.3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39673"/>
    <s v="1538448831:1"/>
    <s v="1.04.01"/>
    <s v="FP Labor - Primary Remote Services Ctr"/>
    <s v="Labor"/>
    <s v="CO-C"/>
    <d v="2026-05-09T00:00:00"/>
    <x v="19"/>
    <x v="25"/>
    <s v="Employee"/>
    <s v="7"/>
    <s v="ORCL IN OSSI"/>
    <s v="504506 - 94V:GSC-eStudio"/>
    <s v="009B"/>
    <s v="Y"/>
    <s v="Y"/>
    <s v="Unrecognized"/>
    <n v="10"/>
    <s v="AED"/>
    <n v="109.17"/>
    <n v="813.38"/>
    <n v="1091.67"/>
    <n v="0"/>
    <n v="8133.7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32"/>
    <s v="3029655697309841"/>
    <s v="1.04.01"/>
    <s v="FP Labor - Primary Remote Services Ctr"/>
    <s v="Labor"/>
    <s v="CO-C"/>
    <d v="2026-05-10T00:00:00"/>
    <x v="19"/>
    <x v="4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65"/>
    <s v="3029655767905541"/>
    <s v="1.04.01"/>
    <s v="FP Labor - Primary Remote Services Ctr"/>
    <s v="Labor"/>
    <s v="CO-C"/>
    <d v="2026-05-10T00:00:00"/>
    <x v="19"/>
    <x v="41"/>
    <s v="Billable Contractor"/>
    <m/>
    <s v="ORCL EG"/>
    <s v="509485 - 73M: EMEA Business Analytics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379"/>
    <s v="1538366536:1"/>
    <s v="1.04.01"/>
    <s v="FP Labor - Primary Remote Services Ctr"/>
    <s v="Labor"/>
    <s v="CO-C"/>
    <d v="2026-05-10T00:00:00"/>
    <x v="19"/>
    <x v="22"/>
    <s v="Employee"/>
    <s v="6"/>
    <s v="ORCL IN OSSI"/>
    <s v="504526 - 96V:GSC-DB &amp; Options"/>
    <s v="09B2"/>
    <s v="Y"/>
    <s v="Y"/>
    <s v="Unrecognized"/>
    <n v="10"/>
    <s v="AED"/>
    <n v="109.17"/>
    <n v="754.44"/>
    <n v="1091.67"/>
    <n v="0"/>
    <n v="7544.3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59827"/>
    <s v="3029640531339335"/>
    <s v="1.04.01"/>
    <s v="FP Labor - Primary Remote Services Ctr"/>
    <s v="Labor"/>
    <s v="CO-C"/>
    <d v="2026-05-10T00:00:00"/>
    <x v="19"/>
    <x v="2"/>
    <s v="Billable Contractor"/>
    <m/>
    <s v="ORCL EG"/>
    <s v="509485 - 73M: EMEA Business Analytics - PaaS"/>
    <s v="008U"/>
    <s v="Y"/>
    <s v="Y"/>
    <s v="Unrecognized"/>
    <n v="6"/>
    <s v="AED"/>
    <n v="68.87"/>
    <n v="542.25"/>
    <n v="413.21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38146"/>
    <s v="1538448832:1"/>
    <s v="1.04.01"/>
    <s v="FP Labor - Primary Remote Services Ctr"/>
    <s v="Labor"/>
    <s v="CO-C"/>
    <d v="2026-05-10T00:00:00"/>
    <x v="19"/>
    <x v="25"/>
    <s v="Employee"/>
    <s v="7"/>
    <s v="ORCL IN OSSI"/>
    <s v="504506 - 94V:GSC-eStudio"/>
    <s v="009B"/>
    <s v="Y"/>
    <s v="Y"/>
    <s v="Unrecognized"/>
    <n v="10"/>
    <s v="AED"/>
    <n v="109.17"/>
    <n v="813.38"/>
    <n v="1091.67"/>
    <n v="0"/>
    <n v="8133.7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75"/>
    <s v="3029653579705842"/>
    <s v="1.04.01"/>
    <s v="FP Labor - Primary Remote Services Ctr"/>
    <s v="Labor"/>
    <s v="CO-C"/>
    <d v="2026-05-11T00:00:00"/>
    <x v="19"/>
    <x v="42"/>
    <s v="Billable Contractor"/>
    <m/>
    <s v="ORCL EG"/>
    <s v="509485 - 73M: EMEA Business Analytics - PaaS"/>
    <s v="008U"/>
    <s v="Y"/>
    <s v="Y"/>
    <s v="Unrecognized"/>
    <n v="20"/>
    <s v="AED"/>
    <n v="68.87"/>
    <n v="542.25"/>
    <n v="1377.38"/>
    <n v="0"/>
    <n v="10844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03"/>
    <s v="3029655706158041"/>
    <s v="1.04.01"/>
    <s v="FP Labor - Primary Remote Services Ctr"/>
    <s v="Labor"/>
    <s v="CO-C"/>
    <d v="2026-05-11T00:00:00"/>
    <x v="19"/>
    <x v="14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75"/>
    <s v="3029654608421512"/>
    <s v="1.04.01"/>
    <s v="FP Labor - Primary Remote Services Ctr"/>
    <s v="Labor"/>
    <s v="CO-C"/>
    <d v="2026-05-11T00:00:00"/>
    <x v="19"/>
    <x v="43"/>
    <s v="Billable Contractor"/>
    <m/>
    <s v="ORCL EG"/>
    <s v="509485 - 73M: EMEA Business Analytics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28"/>
    <s v="3029655697309871"/>
    <s v="1.04.01"/>
    <s v="FP Labor - Primary Remote Services Ctr"/>
    <s v="Labor"/>
    <s v="CO-C"/>
    <d v="2026-05-11T00:00:00"/>
    <x v="19"/>
    <x v="40"/>
    <s v="Billable Contractor"/>
    <m/>
    <s v="ORCL EG"/>
    <s v="502416 - 3WP-EMEA Delivery Middleware - IaaS"/>
    <s v="008U"/>
    <s v="Y"/>
    <s v="Y"/>
    <s v="Unrecognized"/>
    <n v="8"/>
    <s v="AED"/>
    <n v="68.87"/>
    <n v="542.25"/>
    <n v="550.95000000000005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7781"/>
    <s v="3029655232018702"/>
    <s v="1.04.01"/>
    <s v="FP Labor - Primary Remote Services Ctr"/>
    <s v="Labor"/>
    <s v="CO-C"/>
    <d v="2026-05-11T00:00:00"/>
    <x v="19"/>
    <x v="45"/>
    <s v="Employee"/>
    <s v="5"/>
    <s v="ORCL EG"/>
    <s v="502416 - 3WP-EMEA Delivery Middleware - IaaS"/>
    <s v="008U"/>
    <s v="Y"/>
    <s v="Y"/>
    <s v="Unrecognized"/>
    <n v="16"/>
    <s v="AED"/>
    <n v="55.12"/>
    <n v="660.13"/>
    <n v="881.97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62"/>
    <s v="3029655767905571"/>
    <s v="1.04.01"/>
    <s v="FP Labor - Primary Remote Services Ctr"/>
    <s v="Labor"/>
    <s v="CO-C"/>
    <d v="2026-05-11T00:00:00"/>
    <x v="19"/>
    <x v="41"/>
    <s v="Billable Contractor"/>
    <m/>
    <s v="ORCL EG"/>
    <s v="509485 - 73M: EMEA Business Analytics - PaaS"/>
    <s v="008U"/>
    <s v="Y"/>
    <s v="Y"/>
    <s v="Unrecognized"/>
    <n v="16"/>
    <s v="AED"/>
    <n v="68.87"/>
    <n v="542.25"/>
    <n v="1101.9000000000001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501"/>
    <s v="1537719810:2"/>
    <s v="1.04.01"/>
    <s v="FP Labor - Primary Remote Services Ctr"/>
    <s v="Labor"/>
    <s v="CO-C"/>
    <d v="2026-05-11T00:00:00"/>
    <x v="19"/>
    <x v="27"/>
    <s v="Employee"/>
    <s v="6"/>
    <s v="ORCL IN OSSI"/>
    <s v="504526 - 96V:GSC-DB &amp; Options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8972"/>
    <s v="1537678873:2"/>
    <s v="1.04.01"/>
    <s v="FP Labor - Primary Remote Services Ctr"/>
    <s v="Labor"/>
    <s v="CO-C"/>
    <d v="2026-05-11T00:00:00"/>
    <x v="19"/>
    <x v="17"/>
    <s v="Employee"/>
    <s v="5"/>
    <s v="ORCL IN OSSI"/>
    <s v="504526 - 96V:GSC-DB &amp; Options"/>
    <s v="09B3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35372"/>
    <s v="1537441088:3"/>
    <s v="1.04.01"/>
    <s v="FP Labor - Primary Remote Services Ctr"/>
    <s v="Labor"/>
    <s v="CO-C"/>
    <d v="2026-05-11T00:00:00"/>
    <x v="19"/>
    <x v="5"/>
    <s v="Employee"/>
    <s v="5"/>
    <s v="ORCL IT"/>
    <s v="503896 - 6FT:EMEA OCS Tech Other Delivery"/>
    <s v="0048"/>
    <s v="Y"/>
    <s v="Y"/>
    <s v="Unrecognized"/>
    <n v="16"/>
    <s v="AED"/>
    <n v="259.35000000000002"/>
    <n v="660.13"/>
    <n v="4149.5600000000004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3998"/>
    <s v="1537049294:2"/>
    <s v="1.04.01"/>
    <s v="FP Labor - Primary Remote Services Ctr"/>
    <s v="Labor"/>
    <s v="CO-C"/>
    <d v="2026-05-11T00:00:00"/>
    <x v="19"/>
    <x v="18"/>
    <s v="Employee"/>
    <s v="5"/>
    <s v="ORCL IN OSSI"/>
    <s v="504526 - 96V:GSC-DB &amp; Options"/>
    <s v="09B1"/>
    <s v="Y"/>
    <s v="Y"/>
    <s v="Unrecognized"/>
    <n v="16"/>
    <s v="AED"/>
    <n v="67.94"/>
    <n v="660.13"/>
    <n v="1087.0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94391"/>
    <s v="1537738727:2"/>
    <s v="1.04.01"/>
    <s v="FP Labor - Primary Remote Services Ctr"/>
    <s v="Labor"/>
    <s v="CO-C"/>
    <d v="2026-05-11T00:00:00"/>
    <x v="19"/>
    <x v="19"/>
    <s v="Employee"/>
    <s v="4"/>
    <s v="ORCL IN OSSI"/>
    <s v="504526 - 96V:GSC-DB &amp; Options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159"/>
    <s v="1537144211:2"/>
    <s v="1.04.01"/>
    <s v="FP Labor - Primary Remote Services Ctr"/>
    <s v="Labor"/>
    <s v="CO-C"/>
    <d v="2026-05-11T00:00:00"/>
    <x v="19"/>
    <x v="20"/>
    <s v="Employee"/>
    <s v="4"/>
    <s v="ORCL IN OSSI"/>
    <s v="504506 - 94V:GSC-eStudio"/>
    <s v="09B4"/>
    <s v="Y"/>
    <s v="Y"/>
    <s v="Unrecognized"/>
    <n v="16"/>
    <s v="AED"/>
    <n v="67.94"/>
    <n v="542.25"/>
    <n v="1087.02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9570"/>
    <s v="1537075552:2"/>
    <s v="1.04.01"/>
    <s v="FP Labor - Primary Remote Services Ctr"/>
    <s v="Labor"/>
    <s v="CO-C"/>
    <d v="2026-05-11T00:00:00"/>
    <x v="19"/>
    <x v="29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89203"/>
    <s v="3029656013641031"/>
    <s v="1.04.01"/>
    <s v="FP Labor - Primary Remote Services Ctr"/>
    <s v="Labor"/>
    <s v="CO-C"/>
    <d v="2026-05-11T00:00:00"/>
    <x v="19"/>
    <x v="13"/>
    <s v="Employee"/>
    <s v="8"/>
    <s v="ORCL EG"/>
    <s v="502416 - 3WP-EMEA Delivery Middleware - IaaS"/>
    <s v="008U"/>
    <s v="Y"/>
    <s v="Y"/>
    <s v="Unrecognized"/>
    <n v="8"/>
    <s v="AED"/>
    <n v="95.91"/>
    <n v="943.05"/>
    <n v="767.27"/>
    <n v="0"/>
    <n v="7544.3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13482"/>
    <s v="1532974543:4"/>
    <s v="1.04.01"/>
    <s v="FP Labor - Primary Remote Services Ctr"/>
    <s v="Labor"/>
    <s v="CO-C"/>
    <d v="2026-05-11T00:00:00"/>
    <x v="19"/>
    <x v="3"/>
    <s v="Employee"/>
    <s v="6"/>
    <s v="ORCL IN OSSI"/>
    <s v="504506 - 94V:GSC-eStudio"/>
    <s v="09B4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08675"/>
    <s v="1537060309:2"/>
    <s v="1.04.01"/>
    <s v="FP Labor - Primary Remote Services Ctr"/>
    <s v="Labor"/>
    <s v="CO-C"/>
    <d v="2026-05-11T00:00:00"/>
    <x v="19"/>
    <x v="22"/>
    <s v="Employee"/>
    <s v="6"/>
    <s v="ORCL IN OSSI"/>
    <s v="504526 - 96V:GSC-DB &amp; Options"/>
    <s v="09B2"/>
    <s v="Y"/>
    <s v="Y"/>
    <s v="Unrecognized"/>
    <n v="10"/>
    <s v="AED"/>
    <n v="109.17"/>
    <n v="754.44"/>
    <n v="1091.67"/>
    <n v="0"/>
    <n v="7544.3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43955"/>
    <s v="1537726964:5"/>
    <s v="1.04.01"/>
    <s v="FP Labor - Primary Remote Services Ctr"/>
    <s v="Labor"/>
    <s v="CO-C"/>
    <d v="2026-05-11T00:00:00"/>
    <x v="19"/>
    <x v="31"/>
    <s v="Employee"/>
    <s v="6"/>
    <s v="ORCL IN OSSI"/>
    <s v="504506 - 94V:GSC-eStudio"/>
    <s v="09B2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135824"/>
    <s v="3029651906329202"/>
    <s v="1.04.01"/>
    <s v="FP Labor - Primary Remote Services Ctr"/>
    <s v="Labor"/>
    <s v="CO-C"/>
    <d v="2026-05-11T00:00:00"/>
    <x v="19"/>
    <x v="24"/>
    <s v="Billable Contractor"/>
    <m/>
    <s v="ORCL IN OSSI"/>
    <s v="504526 - 96V:GSC-DB &amp; Options"/>
    <s v="009B"/>
    <s v="Y"/>
    <s v="Y"/>
    <s v="Unrecognized"/>
    <n v="16"/>
    <s v="AED"/>
    <n v="109.17"/>
    <n v="754.44"/>
    <n v="1746.67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42663"/>
    <s v="1537329173:2"/>
    <s v="1.04.01"/>
    <s v="FP Labor - Primary Remote Services Ctr"/>
    <s v="Labor"/>
    <s v="CO-C"/>
    <d v="2026-05-11T00:00:00"/>
    <x v="19"/>
    <x v="25"/>
    <s v="Employee"/>
    <s v="7"/>
    <s v="ORCL IN OSSI"/>
    <s v="504506 - 94V:GSC-eStudio"/>
    <s v="009B"/>
    <s v="Y"/>
    <s v="Y"/>
    <s v="Unrecognized"/>
    <n v="10"/>
    <s v="AED"/>
    <n v="109.17"/>
    <n v="813.38"/>
    <n v="1091.67"/>
    <n v="0"/>
    <n v="8133.7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70"/>
    <s v="3029653579705862"/>
    <s v="1.04.01"/>
    <s v="FP Labor - Primary Remote Services Ctr"/>
    <s v="Labor"/>
    <s v="CO-C"/>
    <d v="2026-05-12T00:00:00"/>
    <x v="19"/>
    <x v="42"/>
    <s v="Billable Contractor"/>
    <m/>
    <s v="ORCL EG"/>
    <s v="509485 - 73M: EMEA Business Analytics - PaaS"/>
    <s v="008U"/>
    <s v="Y"/>
    <s v="Y"/>
    <s v="Unrecognized"/>
    <n v="20"/>
    <s v="AED"/>
    <n v="68.86"/>
    <n v="542.25"/>
    <n v="1377.19"/>
    <n v="0"/>
    <n v="10844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02"/>
    <s v="3029655706158071"/>
    <s v="1.04.01"/>
    <s v="FP Labor - Primary Remote Services Ctr"/>
    <s v="Labor"/>
    <s v="CO-C"/>
    <d v="2026-05-12T00:00:00"/>
    <x v="19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73"/>
    <s v="3029654608421532"/>
    <s v="1.04.01"/>
    <s v="FP Labor - Primary Remote Services Ctr"/>
    <s v="Labor"/>
    <s v="CO-C"/>
    <d v="2026-05-12T00:00:00"/>
    <x v="19"/>
    <x v="43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31"/>
    <s v="3029655697309901"/>
    <s v="1.04.01"/>
    <s v="FP Labor - Primary Remote Services Ctr"/>
    <s v="Labor"/>
    <s v="CO-C"/>
    <d v="2026-05-12T00:00:00"/>
    <x v="19"/>
    <x v="4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7780"/>
    <s v="3029655232018722"/>
    <s v="1.04.01"/>
    <s v="FP Labor - Primary Remote Services Ctr"/>
    <s v="Labor"/>
    <s v="CO-C"/>
    <d v="2026-05-12T00:00:00"/>
    <x v="19"/>
    <x v="45"/>
    <s v="Employee"/>
    <s v="5"/>
    <s v="ORCL EG"/>
    <s v="502416 - 3WP-EMEA Delivery Middleware - IaaS"/>
    <s v="008U"/>
    <s v="Y"/>
    <s v="Y"/>
    <s v="Unrecognized"/>
    <n v="16"/>
    <s v="AED"/>
    <n v="55.07"/>
    <n v="660.13"/>
    <n v="881.15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61"/>
    <s v="3029655767905601"/>
    <s v="1.04.01"/>
    <s v="FP Labor - Primary Remote Services Ctr"/>
    <s v="Labor"/>
    <s v="CO-C"/>
    <d v="2026-05-12T00:00:00"/>
    <x v="19"/>
    <x v="41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70624"/>
    <s v="1537719809:2"/>
    <s v="1.04.01"/>
    <s v="FP Labor - Primary Remote Services Ctr"/>
    <s v="Labor"/>
    <s v="CO-C"/>
    <d v="2026-05-12T00:00:00"/>
    <x v="19"/>
    <x v="27"/>
    <s v="Employee"/>
    <s v="6"/>
    <s v="ORCL IN OSSI"/>
    <s v="504526 - 96V:GSC-DB &amp; Options"/>
    <s v="09B4"/>
    <s v="Y"/>
    <s v="Y"/>
    <s v="Unrecognized"/>
    <n v="16"/>
    <s v="AED"/>
    <n v="108.25"/>
    <n v="754.44"/>
    <n v="1731.95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71878"/>
    <s v="1537678874:2"/>
    <s v="1.04.01"/>
    <s v="FP Labor - Primary Remote Services Ctr"/>
    <s v="Labor"/>
    <s v="CO-C"/>
    <d v="2026-05-12T00:00:00"/>
    <x v="19"/>
    <x v="17"/>
    <s v="Employee"/>
    <s v="5"/>
    <s v="ORCL IN OSSI"/>
    <s v="504526 - 96V:GSC-DB &amp; Options"/>
    <s v="09B3"/>
    <s v="Y"/>
    <s v="Y"/>
    <s v="Unrecognized"/>
    <n v="16"/>
    <s v="AED"/>
    <n v="67.37"/>
    <n v="660.13"/>
    <n v="1077.8599999999999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52782"/>
    <s v="1537441090:3"/>
    <s v="1.04.01"/>
    <s v="FP Labor - Primary Remote Services Ctr"/>
    <s v="Labor"/>
    <s v="CO-C"/>
    <d v="2026-05-12T00:00:00"/>
    <x v="19"/>
    <x v="5"/>
    <s v="Employee"/>
    <s v="5"/>
    <s v="ORCL IT"/>
    <s v="503896 - 6FT:EMEA OCS Tech Other Delivery"/>
    <s v="0048"/>
    <s v="Y"/>
    <s v="Y"/>
    <s v="Unrecognized"/>
    <n v="16"/>
    <s v="AED"/>
    <n v="261.20999999999998"/>
    <n v="660.13"/>
    <n v="4179.3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70278"/>
    <s v="1537049296:2"/>
    <s v="1.04.01"/>
    <s v="FP Labor - Primary Remote Services Ctr"/>
    <s v="Labor"/>
    <s v="CO-C"/>
    <d v="2026-05-12T00:00:00"/>
    <x v="19"/>
    <x v="18"/>
    <s v="Employee"/>
    <s v="5"/>
    <s v="ORCL IN OSSI"/>
    <s v="504526 - 96V:GSC-DB &amp; Options"/>
    <s v="09B1"/>
    <s v="Y"/>
    <s v="Y"/>
    <s v="Unrecognized"/>
    <n v="16"/>
    <s v="AED"/>
    <n v="67.37"/>
    <n v="660.13"/>
    <n v="1077.8599999999999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70736"/>
    <s v="1537738726:2"/>
    <s v="1.04.01"/>
    <s v="FP Labor - Primary Remote Services Ctr"/>
    <s v="Labor"/>
    <s v="CO-C"/>
    <d v="2026-05-12T00:00:00"/>
    <x v="19"/>
    <x v="19"/>
    <s v="Employee"/>
    <s v="4"/>
    <s v="ORCL IN OSSI"/>
    <s v="504526 - 96V:GSC-DB &amp; Options"/>
    <s v="09B4"/>
    <s v="Y"/>
    <s v="Y"/>
    <s v="Unrecognized"/>
    <n v="16"/>
    <s v="AED"/>
    <n v="67.37"/>
    <n v="542.25"/>
    <n v="1077.8599999999999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69537"/>
    <s v="1537144210:2"/>
    <s v="1.04.01"/>
    <s v="FP Labor - Primary Remote Services Ctr"/>
    <s v="Labor"/>
    <s v="CO-C"/>
    <d v="2026-05-12T00:00:00"/>
    <x v="19"/>
    <x v="20"/>
    <s v="Employee"/>
    <s v="4"/>
    <s v="ORCL IN OSSI"/>
    <s v="504506 - 94V:GSC-eStudio"/>
    <s v="09B4"/>
    <s v="Y"/>
    <s v="Y"/>
    <s v="Unrecognized"/>
    <n v="16"/>
    <s v="AED"/>
    <n v="67.37"/>
    <n v="542.25"/>
    <n v="1077.8599999999999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69336"/>
    <s v="1537075551:2"/>
    <s v="1.04.01"/>
    <s v="FP Labor - Primary Remote Services Ctr"/>
    <s v="Labor"/>
    <s v="CO-C"/>
    <d v="2026-05-12T00:00:00"/>
    <x v="19"/>
    <x v="29"/>
    <s v="Employee"/>
    <s v="6"/>
    <s v="ORCL IN OSSI"/>
    <s v="504506 - 94V:GSC-eStudio"/>
    <s v="09B2"/>
    <s v="Y"/>
    <s v="Y"/>
    <s v="Unrecognized"/>
    <n v="16"/>
    <s v="AED"/>
    <n v="108.25"/>
    <n v="754.44"/>
    <n v="1731.95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89201"/>
    <s v="3029656013641051"/>
    <s v="1.04.01"/>
    <s v="FP Labor - Primary Remote Services Ctr"/>
    <s v="Labor"/>
    <s v="CO-C"/>
    <d v="2026-05-12T00:00:00"/>
    <x v="19"/>
    <x v="13"/>
    <s v="Employee"/>
    <s v="8"/>
    <s v="ORCL EG"/>
    <s v="502416 - 3WP-EMEA Delivery Middleware - IaaS"/>
    <s v="008U"/>
    <s v="Y"/>
    <s v="Y"/>
    <s v="Unrecognized"/>
    <n v="8"/>
    <s v="AED"/>
    <n v="95.82"/>
    <n v="943.05"/>
    <n v="766.56"/>
    <n v="0"/>
    <n v="7544.3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2904"/>
    <s v="1532974544:4"/>
    <s v="1.04.01"/>
    <s v="FP Labor - Primary Remote Services Ctr"/>
    <s v="Labor"/>
    <s v="CO-C"/>
    <d v="2026-05-12T00:00:00"/>
    <x v="19"/>
    <x v="3"/>
    <s v="Employee"/>
    <s v="6"/>
    <s v="ORCL IN OSSI"/>
    <s v="504506 - 94V:GSC-eStudio"/>
    <s v="09B4"/>
    <s v="Y"/>
    <s v="Y"/>
    <s v="Unrecognized"/>
    <n v="16"/>
    <s v="AED"/>
    <n v="108.25"/>
    <n v="754.44"/>
    <n v="1731.95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72700"/>
    <s v="1537060308:2"/>
    <s v="1.04.01"/>
    <s v="FP Labor - Primary Remote Services Ctr"/>
    <s v="Labor"/>
    <s v="CO-C"/>
    <d v="2026-05-12T00:00:00"/>
    <x v="19"/>
    <x v="22"/>
    <s v="Employee"/>
    <s v="6"/>
    <s v="ORCL IN OSSI"/>
    <s v="504526 - 96V:GSC-DB &amp; Options"/>
    <s v="09B2"/>
    <s v="Y"/>
    <s v="Y"/>
    <s v="Unrecognized"/>
    <n v="10"/>
    <s v="AED"/>
    <n v="108.25"/>
    <n v="754.44"/>
    <n v="1082.47"/>
    <n v="0"/>
    <n v="7544.3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55413"/>
    <s v="1537726966:5"/>
    <s v="1.04.01"/>
    <s v="FP Labor - Primary Remote Services Ctr"/>
    <s v="Labor"/>
    <s v="CO-C"/>
    <d v="2026-05-12T00:00:00"/>
    <x v="19"/>
    <x v="31"/>
    <s v="Employee"/>
    <s v="6"/>
    <s v="ORCL IN OSSI"/>
    <s v="504506 - 94V:GSC-eStudio"/>
    <s v="09B2"/>
    <s v="Y"/>
    <s v="Y"/>
    <s v="Unrecognized"/>
    <n v="16"/>
    <s v="AED"/>
    <n v="108.25"/>
    <n v="754.44"/>
    <n v="1731.95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12335"/>
    <s v="3029651906329222"/>
    <s v="1.04.01"/>
    <s v="FP Labor - Primary Remote Services Ctr"/>
    <s v="Labor"/>
    <s v="CO-C"/>
    <d v="2026-05-12T00:00:00"/>
    <x v="19"/>
    <x v="24"/>
    <s v="Billable Contractor"/>
    <m/>
    <s v="ORCL IN OSSI"/>
    <s v="504526 - 96V:GSC-DB &amp; Options"/>
    <s v="009B"/>
    <s v="Y"/>
    <s v="Y"/>
    <s v="Unrecognized"/>
    <n v="16"/>
    <s v="AED"/>
    <n v="108.25"/>
    <n v="754.44"/>
    <n v="1731.95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70467"/>
    <s v="1537329172:2"/>
    <s v="1.04.01"/>
    <s v="FP Labor - Primary Remote Services Ctr"/>
    <s v="Labor"/>
    <s v="CO-C"/>
    <d v="2026-05-12T00:00:00"/>
    <x v="19"/>
    <x v="25"/>
    <s v="Employee"/>
    <s v="7"/>
    <s v="ORCL IN OSSI"/>
    <s v="504506 - 94V:GSC-eStudio"/>
    <s v="009B"/>
    <s v="Y"/>
    <s v="Y"/>
    <s v="Unrecognized"/>
    <n v="10"/>
    <s v="AED"/>
    <n v="108.25"/>
    <n v="813.38"/>
    <n v="1082.47"/>
    <n v="0"/>
    <n v="8133.7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71"/>
    <s v="3029653579705882"/>
    <s v="1.04.01"/>
    <s v="FP Labor - Primary Remote Services Ctr"/>
    <s v="Labor"/>
    <s v="CO-C"/>
    <d v="2026-05-13T00:00:00"/>
    <x v="19"/>
    <x v="42"/>
    <s v="Billable Contractor"/>
    <m/>
    <s v="ORCL EG"/>
    <s v="509485 - 73M: EMEA Business Analytics - PaaS"/>
    <s v="008U"/>
    <s v="Y"/>
    <s v="Y"/>
    <s v="Unrecognized"/>
    <n v="20"/>
    <s v="AED"/>
    <n v="68.86"/>
    <n v="542.25"/>
    <n v="1377.19"/>
    <n v="0"/>
    <n v="10844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01"/>
    <s v="3029655706158101"/>
    <s v="1.04.01"/>
    <s v="FP Labor - Primary Remote Services Ctr"/>
    <s v="Labor"/>
    <s v="CO-C"/>
    <d v="2026-05-13T00:00:00"/>
    <x v="19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71"/>
    <s v="3029654608421552"/>
    <s v="1.04.01"/>
    <s v="FP Labor - Primary Remote Services Ctr"/>
    <s v="Labor"/>
    <s v="CO-C"/>
    <d v="2026-05-13T00:00:00"/>
    <x v="19"/>
    <x v="43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30"/>
    <s v="3029655697309922"/>
    <s v="1.04.01"/>
    <s v="FP Labor - Primary Remote Services Ctr"/>
    <s v="Labor"/>
    <s v="CO-C"/>
    <d v="2026-05-13T00:00:00"/>
    <x v="19"/>
    <x v="4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7779"/>
    <s v="3029655232018742"/>
    <s v="1.04.01"/>
    <s v="FP Labor - Primary Remote Services Ctr"/>
    <s v="Labor"/>
    <s v="CO-C"/>
    <d v="2026-05-13T00:00:00"/>
    <x v="19"/>
    <x v="45"/>
    <s v="Employee"/>
    <s v="5"/>
    <s v="ORCL EG"/>
    <s v="502416 - 3WP-EMEA Delivery Middleware - IaaS"/>
    <s v="008U"/>
    <s v="Y"/>
    <s v="Y"/>
    <s v="Unrecognized"/>
    <n v="16"/>
    <s v="AED"/>
    <n v="54.97"/>
    <n v="660.13"/>
    <n v="879.57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60"/>
    <s v="3029655767905631"/>
    <s v="1.04.01"/>
    <s v="FP Labor - Primary Remote Services Ctr"/>
    <s v="Labor"/>
    <s v="CO-C"/>
    <d v="2026-05-13T00:00:00"/>
    <x v="19"/>
    <x v="41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13354"/>
    <s v="1537719808:2"/>
    <s v="1.04.01"/>
    <s v="FP Labor - Primary Remote Services Ctr"/>
    <s v="Labor"/>
    <s v="CO-C"/>
    <d v="2026-05-13T00:00:00"/>
    <x v="19"/>
    <x v="27"/>
    <s v="Employee"/>
    <s v="6"/>
    <s v="ORCL IN OSSI"/>
    <s v="504526 - 96V:GSC-DB &amp; Options"/>
    <s v="09B4"/>
    <s v="Y"/>
    <s v="Y"/>
    <s v="Unrecognized"/>
    <n v="16"/>
    <s v="AED"/>
    <n v="107.89"/>
    <n v="754.44"/>
    <n v="1726.1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61941"/>
    <s v="3029641142557815"/>
    <s v="1.04.01"/>
    <s v="FP Labor - Primary Remote Services Ctr"/>
    <s v="Labor"/>
    <s v="CO-C"/>
    <d v="2026-05-13T00:00:00"/>
    <x v="19"/>
    <x v="8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39281"/>
    <s v="1537678875:2"/>
    <s v="1.04.01"/>
    <s v="FP Labor - Primary Remote Services Ctr"/>
    <s v="Labor"/>
    <s v="CO-C"/>
    <d v="2026-05-13T00:00:00"/>
    <x v="19"/>
    <x v="17"/>
    <s v="Employee"/>
    <s v="5"/>
    <s v="ORCL IN OSSI"/>
    <s v="504526 - 96V:GSC-DB &amp; Options"/>
    <s v="09B3"/>
    <s v="Y"/>
    <s v="Y"/>
    <s v="Unrecognized"/>
    <n v="16"/>
    <s v="AED"/>
    <n v="67.14"/>
    <n v="660.13"/>
    <n v="1074.27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40317"/>
    <s v="1537441092:3"/>
    <s v="1.04.01"/>
    <s v="FP Labor - Primary Remote Services Ctr"/>
    <s v="Labor"/>
    <s v="CO-C"/>
    <d v="2026-05-13T00:00:00"/>
    <x v="19"/>
    <x v="5"/>
    <s v="Employee"/>
    <s v="5"/>
    <s v="ORCL IT"/>
    <s v="503896 - 6FT:EMEA OCS Tech Other Delivery"/>
    <s v="0048"/>
    <s v="Y"/>
    <s v="Y"/>
    <s v="Unrecognized"/>
    <n v="16"/>
    <s v="AED"/>
    <n v="260.23"/>
    <n v="660.13"/>
    <n v="4163.71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39357"/>
    <s v="1537049298:2"/>
    <s v="1.04.01"/>
    <s v="FP Labor - Primary Remote Services Ctr"/>
    <s v="Labor"/>
    <s v="CO-C"/>
    <d v="2026-05-13T00:00:00"/>
    <x v="19"/>
    <x v="18"/>
    <s v="Employee"/>
    <s v="5"/>
    <s v="ORCL IN OSSI"/>
    <s v="504526 - 96V:GSC-DB &amp; Options"/>
    <s v="09B1"/>
    <s v="Y"/>
    <s v="Y"/>
    <s v="Unrecognized"/>
    <n v="16"/>
    <s v="AED"/>
    <n v="67.14"/>
    <n v="660.13"/>
    <n v="1074.27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39473"/>
    <s v="1537738725:2"/>
    <s v="1.04.01"/>
    <s v="FP Labor - Primary Remote Services Ctr"/>
    <s v="Labor"/>
    <s v="CO-C"/>
    <d v="2026-05-13T00:00:00"/>
    <x v="19"/>
    <x v="19"/>
    <s v="Employee"/>
    <s v="4"/>
    <s v="ORCL IN OSSI"/>
    <s v="504526 - 96V:GSC-DB &amp; Options"/>
    <s v="09B4"/>
    <s v="Y"/>
    <s v="Y"/>
    <s v="Unrecognized"/>
    <n v="16"/>
    <s v="AED"/>
    <n v="67.14"/>
    <n v="542.25"/>
    <n v="1074.27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40029"/>
    <s v="1537144209:2"/>
    <s v="1.04.01"/>
    <s v="FP Labor - Primary Remote Services Ctr"/>
    <s v="Labor"/>
    <s v="CO-C"/>
    <d v="2026-05-13T00:00:00"/>
    <x v="19"/>
    <x v="20"/>
    <s v="Employee"/>
    <s v="4"/>
    <s v="ORCL IN OSSI"/>
    <s v="504506 - 94V:GSC-eStudio"/>
    <s v="09B4"/>
    <s v="Y"/>
    <s v="Y"/>
    <s v="Unrecognized"/>
    <n v="16"/>
    <s v="AED"/>
    <n v="67.14"/>
    <n v="542.25"/>
    <n v="1074.27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39009"/>
    <s v="1537075550:2"/>
    <s v="1.04.01"/>
    <s v="FP Labor - Primary Remote Services Ctr"/>
    <s v="Labor"/>
    <s v="CO-C"/>
    <d v="2026-05-13T00:00:00"/>
    <x v="19"/>
    <x v="29"/>
    <s v="Employee"/>
    <s v="6"/>
    <s v="ORCL IN OSSI"/>
    <s v="504506 - 94V:GSC-eStudio"/>
    <s v="09B2"/>
    <s v="Y"/>
    <s v="Y"/>
    <s v="Unrecognized"/>
    <n v="16"/>
    <s v="AED"/>
    <n v="107.89"/>
    <n v="754.44"/>
    <n v="1726.1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806133"/>
    <s v="3029656013641071"/>
    <s v="1.04.01"/>
    <s v="FP Labor - Primary Remote Services Ctr"/>
    <s v="Labor"/>
    <s v="CO-C"/>
    <d v="2026-05-13T00:00:00"/>
    <x v="19"/>
    <x v="13"/>
    <s v="Employee"/>
    <s v="8"/>
    <s v="ORCL EG"/>
    <s v="502416 - 3WP-EMEA Delivery Middleware - IaaS"/>
    <s v="008U"/>
    <s v="Y"/>
    <s v="Y"/>
    <s v="Unrecognized"/>
    <n v="8"/>
    <s v="AED"/>
    <n v="95.65"/>
    <n v="943.05"/>
    <n v="765.18"/>
    <n v="0"/>
    <n v="7544.3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1852"/>
    <s v="1532974545:4"/>
    <s v="1.04.01"/>
    <s v="FP Labor - Primary Remote Services Ctr"/>
    <s v="Labor"/>
    <s v="CO-C"/>
    <d v="2026-05-13T00:00:00"/>
    <x v="19"/>
    <x v="3"/>
    <s v="Employee"/>
    <s v="6"/>
    <s v="ORCL IN OSSI"/>
    <s v="504506 - 94V:GSC-eStudio"/>
    <s v="09B4"/>
    <s v="Y"/>
    <s v="Y"/>
    <s v="Unrecognized"/>
    <n v="16"/>
    <s v="AED"/>
    <n v="107.89"/>
    <n v="754.44"/>
    <n v="1726.1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40138"/>
    <s v="1537060307:2"/>
    <s v="1.04.01"/>
    <s v="FP Labor - Primary Remote Services Ctr"/>
    <s v="Labor"/>
    <s v="CO-C"/>
    <d v="2026-05-13T00:00:00"/>
    <x v="19"/>
    <x v="22"/>
    <s v="Employee"/>
    <s v="6"/>
    <s v="ORCL IN OSSI"/>
    <s v="504526 - 96V:GSC-DB &amp; Options"/>
    <s v="09B2"/>
    <s v="Y"/>
    <s v="Y"/>
    <s v="Unrecognized"/>
    <n v="10"/>
    <s v="AED"/>
    <n v="107.89"/>
    <n v="754.44"/>
    <n v="1078.8599999999999"/>
    <n v="0"/>
    <n v="7544.36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38727"/>
    <s v="1537726968:5"/>
    <s v="1.04.01"/>
    <s v="FP Labor - Primary Remote Services Ctr"/>
    <s v="Labor"/>
    <s v="CO-C"/>
    <d v="2026-05-13T00:00:00"/>
    <x v="19"/>
    <x v="31"/>
    <s v="Employee"/>
    <s v="6"/>
    <s v="ORCL IN OSSI"/>
    <s v="504506 - 94V:GSC-eStudio"/>
    <s v="09B2"/>
    <s v="Y"/>
    <s v="Y"/>
    <s v="Unrecognized"/>
    <n v="16"/>
    <s v="AED"/>
    <n v="107.89"/>
    <n v="754.44"/>
    <n v="1726.1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256470"/>
    <s v="3029651906329242"/>
    <s v="1.04.01"/>
    <s v="FP Labor - Primary Remote Services Ctr"/>
    <s v="Labor"/>
    <s v="CO-C"/>
    <d v="2026-05-13T00:00:00"/>
    <x v="19"/>
    <x v="24"/>
    <s v="Billable Contractor"/>
    <m/>
    <s v="ORCL IN OSSI"/>
    <s v="504526 - 96V:GSC-DB &amp; Options"/>
    <s v="009B"/>
    <s v="Y"/>
    <s v="Y"/>
    <s v="Unrecognized"/>
    <n v="16"/>
    <s v="AED"/>
    <n v="107.89"/>
    <n v="754.44"/>
    <n v="1726.1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38260"/>
    <s v="1537329171:2"/>
    <s v="1.04.01"/>
    <s v="FP Labor - Primary Remote Services Ctr"/>
    <s v="Labor"/>
    <s v="CO-C"/>
    <d v="2026-05-13T00:00:00"/>
    <x v="19"/>
    <x v="25"/>
    <s v="Employee"/>
    <s v="7"/>
    <s v="ORCL IN OSSI"/>
    <s v="504506 - 94V:GSC-eStudio"/>
    <s v="009B"/>
    <s v="Y"/>
    <s v="Y"/>
    <s v="Unrecognized"/>
    <n v="10"/>
    <s v="AED"/>
    <n v="107.89"/>
    <n v="813.38"/>
    <n v="1078.8599999999999"/>
    <n v="0"/>
    <n v="8133.7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68"/>
    <s v="3029653579705902"/>
    <s v="1.04.01"/>
    <s v="FP Labor - Primary Remote Services Ctr"/>
    <s v="Labor"/>
    <s v="CO-C"/>
    <d v="2026-05-14T00:00:00"/>
    <x v="19"/>
    <x v="42"/>
    <s v="Billable Contractor"/>
    <m/>
    <s v="ORCL EG"/>
    <s v="509485 - 73M: EMEA Business Analytics - PaaS"/>
    <s v="008U"/>
    <s v="Y"/>
    <s v="Y"/>
    <s v="Unrecognized"/>
    <n v="20"/>
    <s v="AED"/>
    <n v="68.86"/>
    <n v="542.25"/>
    <n v="1377.19"/>
    <n v="0"/>
    <n v="10844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600"/>
    <s v="3029655706158131"/>
    <s v="1.04.01"/>
    <s v="FP Labor - Primary Remote Services Ctr"/>
    <s v="Labor"/>
    <s v="CO-C"/>
    <d v="2026-05-14T00:00:00"/>
    <x v="19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69"/>
    <s v="3029651846483253"/>
    <s v="1.04.01"/>
    <s v="FP Labor - Primary Remote Services Ctr"/>
    <s v="Labor"/>
    <s v="CO-C"/>
    <d v="2026-05-14T00:00:00"/>
    <x v="19"/>
    <x v="43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29"/>
    <s v="3029655707111451"/>
    <s v="1.04.01"/>
    <s v="FP Labor - Primary Remote Services Ctr"/>
    <s v="Labor"/>
    <s v="CO-C"/>
    <d v="2026-05-14T00:00:00"/>
    <x v="19"/>
    <x v="40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7778"/>
    <s v="3029655232018772"/>
    <s v="1.04.01"/>
    <s v="FP Labor - Primary Remote Services Ctr"/>
    <s v="Labor"/>
    <s v="CO-C"/>
    <d v="2026-05-14T00:00:00"/>
    <x v="19"/>
    <x v="45"/>
    <s v="Employee"/>
    <s v="5"/>
    <s v="ORCL EG"/>
    <s v="502416 - 3WP-EMEA Delivery Middleware - IaaS"/>
    <s v="008U"/>
    <s v="Y"/>
    <s v="Y"/>
    <s v="Unrecognized"/>
    <n v="16"/>
    <s v="AED"/>
    <n v="54.98"/>
    <n v="660.13"/>
    <n v="879.6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16559"/>
    <s v="3029655767905661"/>
    <s v="1.04.01"/>
    <s v="FP Labor - Primary Remote Services Ctr"/>
    <s v="Labor"/>
    <s v="CO-C"/>
    <d v="2026-05-14T00:00:00"/>
    <x v="19"/>
    <x v="41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17153"/>
    <s v="1537719807:2"/>
    <s v="1.04.01"/>
    <s v="FP Labor - Primary Remote Services Ctr"/>
    <s v="Labor"/>
    <s v="CO-C"/>
    <d v="2026-05-14T00:00:00"/>
    <x v="19"/>
    <x v="27"/>
    <s v="Employee"/>
    <s v="6"/>
    <s v="ORCL IN OSSI"/>
    <s v="504526 - 96V:GSC-DB &amp; Options"/>
    <s v="09B4"/>
    <s v="Y"/>
    <s v="Y"/>
    <s v="Unrecognized"/>
    <n v="16"/>
    <s v="AED"/>
    <n v="107.79"/>
    <n v="754.44"/>
    <n v="1724.69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61426"/>
    <s v="3029641142557835"/>
    <s v="1.04.01"/>
    <s v="FP Labor - Primary Remote Services Ctr"/>
    <s v="Labor"/>
    <s v="CO-C"/>
    <d v="2026-05-14T00:00:00"/>
    <x v="19"/>
    <x v="8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06285"/>
    <s v="1537678876:2"/>
    <s v="1.04.01"/>
    <s v="FP Labor - Primary Remote Services Ctr"/>
    <s v="Labor"/>
    <s v="CO-C"/>
    <d v="2026-05-14T00:00:00"/>
    <x v="19"/>
    <x v="17"/>
    <s v="Employee"/>
    <s v="5"/>
    <s v="ORCL IN OSSI"/>
    <s v="504526 - 96V:GSC-DB &amp; Options"/>
    <s v="09B3"/>
    <s v="Y"/>
    <s v="Y"/>
    <s v="Unrecognized"/>
    <n v="16"/>
    <s v="AED"/>
    <n v="67.08"/>
    <n v="660.13"/>
    <n v="1073.3399999999999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23144"/>
    <s v="1537441094:3"/>
    <s v="1.04.01"/>
    <s v="FP Labor - Primary Remote Services Ctr"/>
    <s v="Labor"/>
    <s v="CO-C"/>
    <d v="2026-05-14T00:00:00"/>
    <x v="19"/>
    <x v="5"/>
    <s v="Employee"/>
    <s v="5"/>
    <s v="ORCL IT"/>
    <s v="503896 - 6FT:EMEA OCS Tech Other Delivery"/>
    <s v="0048"/>
    <s v="Y"/>
    <s v="Y"/>
    <s v="Unrecognized"/>
    <n v="16"/>
    <s v="AED"/>
    <n v="259.74"/>
    <n v="660.13"/>
    <n v="4155.91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15135"/>
    <s v="1537049300:2"/>
    <s v="1.04.01"/>
    <s v="FP Labor - Primary Remote Services Ctr"/>
    <s v="Labor"/>
    <s v="CO-C"/>
    <d v="2026-05-14T00:00:00"/>
    <x v="19"/>
    <x v="18"/>
    <s v="Employee"/>
    <s v="5"/>
    <s v="ORCL IN OSSI"/>
    <s v="504526 - 96V:GSC-DB &amp; Options"/>
    <s v="09B1"/>
    <s v="Y"/>
    <s v="Y"/>
    <s v="Unrecognized"/>
    <n v="16"/>
    <s v="AED"/>
    <n v="67.08"/>
    <n v="660.13"/>
    <n v="1073.3399999999999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17835"/>
    <s v="1537738724:2"/>
    <s v="1.04.01"/>
    <s v="FP Labor - Primary Remote Services Ctr"/>
    <s v="Labor"/>
    <s v="CO-C"/>
    <d v="2026-05-14T00:00:00"/>
    <x v="19"/>
    <x v="19"/>
    <s v="Employee"/>
    <s v="4"/>
    <s v="ORCL IN OSSI"/>
    <s v="504526 - 96V:GSC-DB &amp; Options"/>
    <s v="09B4"/>
    <s v="Y"/>
    <s v="Y"/>
    <s v="Unrecognized"/>
    <n v="16"/>
    <s v="AED"/>
    <n v="67.08"/>
    <n v="542.25"/>
    <n v="1073.3399999999999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15386"/>
    <s v="1537144208:2"/>
    <s v="1.04.01"/>
    <s v="FP Labor - Primary Remote Services Ctr"/>
    <s v="Labor"/>
    <s v="CO-C"/>
    <d v="2026-05-14T00:00:00"/>
    <x v="19"/>
    <x v="20"/>
    <s v="Employee"/>
    <s v="4"/>
    <s v="ORCL IN OSSI"/>
    <s v="504506 - 94V:GSC-eStudio"/>
    <s v="09B4"/>
    <s v="Y"/>
    <s v="Y"/>
    <s v="Unrecognized"/>
    <n v="16"/>
    <s v="AED"/>
    <n v="67.08"/>
    <n v="542.25"/>
    <n v="1073.3399999999999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14849"/>
    <s v="1537075549:2"/>
    <s v="1.04.01"/>
    <s v="FP Labor - Primary Remote Services Ctr"/>
    <s v="Labor"/>
    <s v="CO-C"/>
    <d v="2026-05-14T00:00:00"/>
    <x v="19"/>
    <x v="29"/>
    <s v="Employee"/>
    <s v="6"/>
    <s v="ORCL IN OSSI"/>
    <s v="504506 - 94V:GSC-eStudio"/>
    <s v="09B2"/>
    <s v="Y"/>
    <s v="Y"/>
    <s v="Unrecognized"/>
    <n v="16"/>
    <s v="AED"/>
    <n v="107.79"/>
    <n v="754.44"/>
    <n v="1724.69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806129"/>
    <s v="3029656013641091"/>
    <s v="1.04.01"/>
    <s v="FP Labor - Primary Remote Services Ctr"/>
    <s v="Labor"/>
    <s v="CO-C"/>
    <d v="2026-05-14T00:00:00"/>
    <x v="19"/>
    <x v="13"/>
    <s v="Employee"/>
    <s v="8"/>
    <s v="ORCL EG"/>
    <s v="502416 - 3WP-EMEA Delivery Middleware - IaaS"/>
    <s v="008U"/>
    <s v="Y"/>
    <s v="Y"/>
    <s v="Unrecognized"/>
    <n v="8"/>
    <s v="AED"/>
    <n v="95.65"/>
    <n v="943.05"/>
    <n v="765.22"/>
    <n v="0"/>
    <n v="7544.3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2333"/>
    <s v="1532974546:4"/>
    <s v="1.04.01"/>
    <s v="FP Labor - Primary Remote Services Ctr"/>
    <s v="Labor"/>
    <s v="CO-C"/>
    <d v="2026-05-14T00:00:00"/>
    <x v="19"/>
    <x v="3"/>
    <s v="Employee"/>
    <s v="6"/>
    <s v="ORCL IN OSSI"/>
    <s v="504506 - 94V:GSC-eStudio"/>
    <s v="09B4"/>
    <s v="Y"/>
    <s v="Y"/>
    <s v="Unrecognized"/>
    <n v="16"/>
    <s v="AED"/>
    <n v="107.79"/>
    <n v="754.44"/>
    <n v="1724.69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16100"/>
    <s v="1537060306:2"/>
    <s v="1.04.01"/>
    <s v="FP Labor - Primary Remote Services Ctr"/>
    <s v="Labor"/>
    <s v="CO-C"/>
    <d v="2026-05-14T00:00:00"/>
    <x v="19"/>
    <x v="22"/>
    <s v="Employee"/>
    <s v="6"/>
    <s v="ORCL IN OSSI"/>
    <s v="504526 - 96V:GSC-DB &amp; Options"/>
    <s v="09B2"/>
    <s v="Y"/>
    <s v="Y"/>
    <s v="Unrecognized"/>
    <n v="11"/>
    <s v="AED"/>
    <n v="107.79"/>
    <n v="754.44"/>
    <n v="1185.72"/>
    <n v="0"/>
    <n v="8298.790000000000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06635"/>
    <s v="1537726970:5"/>
    <s v="1.04.01"/>
    <s v="FP Labor - Primary Remote Services Ctr"/>
    <s v="Labor"/>
    <s v="CO-C"/>
    <d v="2026-05-14T00:00:00"/>
    <x v="19"/>
    <x v="31"/>
    <s v="Employee"/>
    <s v="6"/>
    <s v="ORCL IN OSSI"/>
    <s v="504506 - 94V:GSC-eStudio"/>
    <s v="09B2"/>
    <s v="Y"/>
    <s v="Y"/>
    <s v="Unrecognized"/>
    <n v="16"/>
    <s v="AED"/>
    <n v="107.79"/>
    <n v="754.44"/>
    <n v="1724.69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343815"/>
    <s v="3029651906329262"/>
    <s v="1.04.01"/>
    <s v="FP Labor - Primary Remote Services Ctr"/>
    <s v="Labor"/>
    <s v="CO-C"/>
    <d v="2026-05-14T00:00:00"/>
    <x v="19"/>
    <x v="24"/>
    <s v="Billable Contractor"/>
    <m/>
    <s v="ORCL IN OSSI"/>
    <s v="504526 - 96V:GSC-DB &amp; Options"/>
    <s v="009B"/>
    <s v="Y"/>
    <s v="Y"/>
    <s v="Unrecognized"/>
    <n v="16"/>
    <s v="AED"/>
    <n v="107.79"/>
    <n v="754.44"/>
    <n v="1724.69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14774"/>
    <s v="1537329170:2"/>
    <s v="1.04.01"/>
    <s v="FP Labor - Primary Remote Services Ctr"/>
    <s v="Labor"/>
    <s v="CO-C"/>
    <d v="2026-05-14T00:00:00"/>
    <x v="19"/>
    <x v="25"/>
    <s v="Employee"/>
    <s v="7"/>
    <s v="ORCL IN OSSI"/>
    <s v="504506 - 94V:GSC-eStudio"/>
    <s v="009B"/>
    <s v="Y"/>
    <s v="Y"/>
    <s v="Unrecognized"/>
    <n v="12"/>
    <s v="AED"/>
    <n v="107.79"/>
    <n v="813.38"/>
    <n v="1293.52"/>
    <n v="0"/>
    <n v="9760.530000000000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99"/>
    <s v="3029655706158161"/>
    <s v="1.04.01"/>
    <s v="FP Labor - Primary Remote Services Ctr"/>
    <s v="Labor"/>
    <s v="CO-C"/>
    <d v="2026-05-15T00:00:00"/>
    <x v="19"/>
    <x v="14"/>
    <s v="Billable Contractor"/>
    <m/>
    <s v="ORCL EG"/>
    <s v="502416 - 3WP-EMEA Delivery Middleware - IaaS"/>
    <s v="008U"/>
    <s v="Y"/>
    <s v="Y"/>
    <s v="Unrecognized"/>
    <n v="8"/>
    <s v="AED"/>
    <n v="68.86"/>
    <n v="542.25"/>
    <n v="550.88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734567"/>
    <s v="3029655702408091"/>
    <s v="1.04.01"/>
    <s v="FP Labor - Primary Remote Services Ctr"/>
    <s v="Labor"/>
    <s v="CO-C"/>
    <d v="2026-05-15T00:00:00"/>
    <x v="19"/>
    <x v="43"/>
    <s v="Billable Contractor"/>
    <m/>
    <s v="ORCL EG"/>
    <s v="509485 - 73M: EMEA Business Analytics - PaaS"/>
    <s v="008U"/>
    <s v="Y"/>
    <s v="Y"/>
    <s v="Unrecognized"/>
    <n v="16"/>
    <s v="AED"/>
    <n v="68.86"/>
    <n v="542.25"/>
    <n v="1101.75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657770"/>
    <s v="3029655231568691"/>
    <s v="1.04.01"/>
    <s v="FP Labor - Primary Remote Services Ctr"/>
    <s v="Labor"/>
    <s v="CO-C"/>
    <d v="2026-05-15T00:00:00"/>
    <x v="19"/>
    <x v="45"/>
    <s v="Employee"/>
    <s v="5"/>
    <s v="ORCL EG"/>
    <s v="502416 - 3WP-EMEA Delivery Middleware - IaaS"/>
    <s v="008U"/>
    <s v="Y"/>
    <s v="Y"/>
    <s v="Unrecognized"/>
    <n v="16"/>
    <s v="AED"/>
    <n v="54.99"/>
    <n v="660.13"/>
    <n v="879.82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536262"/>
    <s v="1537719806:2"/>
    <s v="1.04.01"/>
    <s v="FP Labor - Primary Remote Services Ctr"/>
    <s v="Labor"/>
    <s v="CO-C"/>
    <d v="2026-05-15T00:00:00"/>
    <x v="19"/>
    <x v="27"/>
    <s v="Employee"/>
    <s v="6"/>
    <s v="ORCL IN OSSI"/>
    <s v="504526 - 96V:GSC-DB &amp; Options"/>
    <s v="09B4"/>
    <s v="Y"/>
    <s v="Y"/>
    <s v="Unrecognized"/>
    <n v="16"/>
    <s v="AED"/>
    <n v="107.73"/>
    <n v="754.44"/>
    <n v="1723.6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528180"/>
    <s v="1537678877:2"/>
    <s v="1.04.01"/>
    <s v="FP Labor - Primary Remote Services Ctr"/>
    <s v="Labor"/>
    <s v="CO-C"/>
    <d v="2026-05-15T00:00:00"/>
    <x v="19"/>
    <x v="17"/>
    <s v="Employee"/>
    <s v="5"/>
    <s v="ORCL IN OSSI"/>
    <s v="504526 - 96V:GSC-DB &amp; Options"/>
    <s v="09B3"/>
    <s v="Y"/>
    <s v="Y"/>
    <s v="Unrecognized"/>
    <n v="16"/>
    <s v="AED"/>
    <n v="67.040000000000006"/>
    <n v="660.13"/>
    <n v="1072.71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546005"/>
    <s v="1537441086:3"/>
    <s v="1.04.01"/>
    <s v="FP Labor - Primary Remote Services Ctr"/>
    <s v="Labor"/>
    <s v="CO-C"/>
    <d v="2026-05-15T00:00:00"/>
    <x v="19"/>
    <x v="5"/>
    <s v="Employee"/>
    <s v="5"/>
    <s v="ORCL IT"/>
    <s v="503896 - 6FT:EMEA OCS Tech Other Delivery"/>
    <s v="0048"/>
    <s v="Y"/>
    <s v="Y"/>
    <s v="Unrecognized"/>
    <n v="16"/>
    <s v="AED"/>
    <n v="258.49"/>
    <n v="660.13"/>
    <n v="4135.87"/>
    <n v="0"/>
    <n v="10562.03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69632"/>
    <s v="1537049292:1"/>
    <s v="1.04.01"/>
    <s v="FP Labor - Primary Remote Services Ctr"/>
    <s v="Labor"/>
    <s v="CO-C"/>
    <d v="2026-05-15T00:00:00"/>
    <x v="19"/>
    <x v="18"/>
    <s v="Employee"/>
    <s v="5"/>
    <s v="ORCL IN OSSI"/>
    <s v="504526 - 96V:GSC-DB &amp; Options"/>
    <s v="09B1"/>
    <s v="Y"/>
    <s v="Y"/>
    <s v="Unrecognized"/>
    <n v="8"/>
    <s v="AED"/>
    <n v="67.05"/>
    <n v="660.13"/>
    <n v="536.36"/>
    <n v="0"/>
    <n v="5281.02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537345"/>
    <s v="1537738723:2"/>
    <s v="1.04.01"/>
    <s v="FP Labor - Primary Remote Services Ctr"/>
    <s v="Labor"/>
    <s v="CO-C"/>
    <d v="2026-05-15T00:00:00"/>
    <x v="19"/>
    <x v="19"/>
    <s v="Employee"/>
    <s v="4"/>
    <s v="ORCL IN OSSI"/>
    <s v="504526 - 96V:GSC-DB &amp; Options"/>
    <s v="09B4"/>
    <s v="Y"/>
    <s v="Y"/>
    <s v="Unrecognized"/>
    <n v="16"/>
    <s v="AED"/>
    <n v="67.040000000000006"/>
    <n v="542.25"/>
    <n v="1072.71"/>
    <n v="0"/>
    <n v="8675.9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69751"/>
    <s v="1537144207:1"/>
    <s v="1.04.01"/>
    <s v="FP Labor - Primary Remote Services Ctr"/>
    <s v="Labor"/>
    <s v="CO-C"/>
    <d v="2026-05-15T00:00:00"/>
    <x v="19"/>
    <x v="20"/>
    <s v="Employee"/>
    <s v="4"/>
    <s v="ORCL IN OSSI"/>
    <s v="504506 - 94V:GSC-eStudio"/>
    <s v="09B4"/>
    <s v="Y"/>
    <s v="Y"/>
    <s v="Unrecognized"/>
    <n v="8"/>
    <s v="AED"/>
    <n v="67.05"/>
    <n v="542.25"/>
    <n v="536.36"/>
    <n v="0"/>
    <n v="4338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537043"/>
    <s v="1537075548:2"/>
    <s v="1.04.01"/>
    <s v="FP Labor - Primary Remote Services Ctr"/>
    <s v="Labor"/>
    <s v="CO-C"/>
    <d v="2026-05-15T00:00:00"/>
    <x v="19"/>
    <x v="29"/>
    <s v="Employee"/>
    <s v="6"/>
    <s v="ORCL IN OSSI"/>
    <s v="504506 - 94V:GSC-eStudio"/>
    <s v="09B2"/>
    <s v="Y"/>
    <s v="Y"/>
    <s v="Unrecognized"/>
    <n v="16"/>
    <s v="AED"/>
    <n v="107.73"/>
    <n v="754.44"/>
    <n v="1723.6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806127"/>
    <s v="3029656013641111"/>
    <s v="1.04.01"/>
    <s v="FP Labor - Primary Remote Services Ctr"/>
    <s v="Labor"/>
    <s v="CO-C"/>
    <d v="2026-05-15T00:00:00"/>
    <x v="19"/>
    <x v="13"/>
    <s v="Employee"/>
    <s v="8"/>
    <s v="ORCL EG"/>
    <s v="502416 - 3WP-EMEA Delivery Middleware - IaaS"/>
    <s v="008U"/>
    <s v="Y"/>
    <s v="Y"/>
    <s v="Unrecognized"/>
    <n v="8"/>
    <s v="AED"/>
    <n v="95.68"/>
    <n v="943.05"/>
    <n v="765.4"/>
    <n v="0"/>
    <n v="7544.3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922767"/>
    <s v="1532974547:4"/>
    <s v="1.04.01"/>
    <s v="FP Labor - Primary Remote Services Ctr"/>
    <s v="Labor"/>
    <s v="CO-C"/>
    <d v="2026-05-15T00:00:00"/>
    <x v="19"/>
    <x v="3"/>
    <s v="Employee"/>
    <s v="6"/>
    <s v="ORCL IN OSSI"/>
    <s v="504506 - 94V:GSC-eStudio"/>
    <s v="09B4"/>
    <s v="Y"/>
    <s v="Y"/>
    <s v="Unrecognized"/>
    <n v="16"/>
    <s v="AED"/>
    <n v="107.73"/>
    <n v="754.44"/>
    <n v="1723.6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534847"/>
    <s v="1537060305:2"/>
    <s v="1.04.01"/>
    <s v="FP Labor - Primary Remote Services Ctr"/>
    <s v="Labor"/>
    <s v="CO-C"/>
    <d v="2026-05-15T00:00:00"/>
    <x v="19"/>
    <x v="22"/>
    <s v="Employee"/>
    <s v="6"/>
    <s v="ORCL IN OSSI"/>
    <s v="504526 - 96V:GSC-DB &amp; Options"/>
    <s v="09B2"/>
    <s v="Y"/>
    <s v="Y"/>
    <s v="Unrecognized"/>
    <n v="11"/>
    <s v="AED"/>
    <n v="107.73"/>
    <n v="754.44"/>
    <n v="1185.03"/>
    <n v="0"/>
    <n v="8298.7900000000009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70088"/>
    <s v="3029653489752811"/>
    <s v="1.04.01"/>
    <s v="FP Labor - Primary Remote Services Ctr"/>
    <s v="Labor"/>
    <s v="CO-C"/>
    <d v="2026-05-15T00:00:00"/>
    <x v="19"/>
    <x v="2"/>
    <s v="Billable Contractor"/>
    <m/>
    <s v="ORCL EG"/>
    <s v="509485 - 73M: EMEA Business Analytics - PaaS"/>
    <s v="008U"/>
    <s v="Y"/>
    <s v="Y"/>
    <s v="Unrecognized"/>
    <n v="6"/>
    <s v="AED"/>
    <n v="68.86"/>
    <n v="542.25"/>
    <n v="413.16"/>
    <n v="0"/>
    <n v="3253.5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527665"/>
    <s v="1537726972:5"/>
    <s v="1.04.01"/>
    <s v="FP Labor - Primary Remote Services Ctr"/>
    <s v="Labor"/>
    <s v="CO-C"/>
    <d v="2026-05-15T00:00:00"/>
    <x v="19"/>
    <x v="31"/>
    <s v="Employee"/>
    <s v="6"/>
    <s v="ORCL IN OSSI"/>
    <s v="504506 - 94V:GSC-eStudio"/>
    <s v="09B2"/>
    <s v="Y"/>
    <s v="Y"/>
    <s v="Unrecognized"/>
    <n v="16"/>
    <s v="AED"/>
    <n v="107.73"/>
    <n v="754.44"/>
    <n v="1723.6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416499"/>
    <s v="3029651906329282"/>
    <s v="1.04.01"/>
    <s v="FP Labor - Primary Remote Services Ctr"/>
    <s v="Labor"/>
    <s v="CO-C"/>
    <d v="2026-05-15T00:00:00"/>
    <x v="19"/>
    <x v="24"/>
    <s v="Billable Contractor"/>
    <m/>
    <s v="ORCL IN OSSI"/>
    <s v="504526 - 96V:GSC-DB &amp; Options"/>
    <s v="009B"/>
    <s v="Y"/>
    <s v="Y"/>
    <s v="Unrecognized"/>
    <n v="16"/>
    <s v="AED"/>
    <n v="107.73"/>
    <n v="754.44"/>
    <n v="1723.68"/>
    <n v="0"/>
    <n v="12070.97"/>
    <n v="0"/>
    <n v="0"/>
    <m/>
  </r>
  <r>
    <s v="ORCL AE"/>
    <s v="0069"/>
    <s v="509505 - 75M: EMEA Digital - PaaS"/>
    <s v="400406275"/>
    <x v="1"/>
    <m/>
    <s v="FP"/>
    <s v="Active"/>
    <s v="ali.omar.hasan@oracle.com"/>
    <s v="Oman Data Park SAOC"/>
    <s v="301025567"/>
    <s v="A8YLGG_FP_COMBO_CSS_OMANTEL_Workload Mig_400406275"/>
    <s v="A_1.00.00_LAB_No PO Customer_OM-20476224"/>
    <s v="A38179"/>
    <s v="210527882"/>
    <s v="1537329169:2"/>
    <s v="1.04.01"/>
    <s v="FP Labor - Primary Remote Services Ctr"/>
    <s v="Labor"/>
    <s v="CO-C"/>
    <d v="2026-05-15T00:00:00"/>
    <x v="19"/>
    <x v="25"/>
    <s v="Employee"/>
    <s v="7"/>
    <s v="ORCL IN OSSI"/>
    <s v="504506 - 94V:GSC-eStudio"/>
    <s v="009B"/>
    <s v="Y"/>
    <s v="Y"/>
    <s v="Unrecognized"/>
    <n v="10"/>
    <s v="AED"/>
    <n v="107.73"/>
    <n v="813.38"/>
    <n v="1077.3"/>
    <n v="0"/>
    <n v="8133.78"/>
    <n v="0"/>
    <n v="0"/>
    <m/>
  </r>
  <r>
    <m/>
    <m/>
    <s v="Number of Rows :"/>
    <s v="2678"/>
    <x v="2"/>
    <m/>
    <m/>
    <m/>
    <m/>
    <m/>
    <m/>
    <m/>
    <m/>
    <m/>
    <m/>
    <m/>
    <m/>
    <m/>
    <m/>
    <m/>
    <m/>
    <x v="32"/>
    <x v="46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97D60-1489-4A44-B0A2-1AB92BBCD25C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I99" firstHeaderRow="1" firstDataRow="4" firstDataCol="1" rowPageCount="1" colPageCount="1"/>
  <pivotFields count="43"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30"/>
        <item x="31"/>
        <item x="28"/>
        <item x="29"/>
        <item x="20"/>
        <item x="21"/>
        <item x="22"/>
        <item x="23"/>
        <item x="24"/>
        <item x="25"/>
        <item x="26"/>
        <item x="27"/>
        <item x="32"/>
        <item t="default"/>
      </items>
    </pivotField>
    <pivotField axis="axisRow" showAll="0">
      <items count="48">
        <item x="34"/>
        <item x="42"/>
        <item x="26"/>
        <item x="9"/>
        <item x="14"/>
        <item x="43"/>
        <item x="40"/>
        <item x="45"/>
        <item x="0"/>
        <item x="44"/>
        <item x="41"/>
        <item x="15"/>
        <item x="37"/>
        <item x="10"/>
        <item x="27"/>
        <item x="8"/>
        <item x="1"/>
        <item x="16"/>
        <item x="17"/>
        <item x="5"/>
        <item x="18"/>
        <item x="19"/>
        <item x="28"/>
        <item x="20"/>
        <item x="21"/>
        <item x="29"/>
        <item x="12"/>
        <item x="35"/>
        <item x="13"/>
        <item x="7"/>
        <item x="3"/>
        <item x="39"/>
        <item x="22"/>
        <item x="38"/>
        <item x="36"/>
        <item x="4"/>
        <item x="11"/>
        <item x="30"/>
        <item x="2"/>
        <item x="23"/>
        <item x="31"/>
        <item x="24"/>
        <item x="25"/>
        <item x="32"/>
        <item x="6"/>
        <item x="33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2"/>
  </rowFields>
  <rowItems count="25">
    <i>
      <x v="1"/>
    </i>
    <i>
      <x v="4"/>
    </i>
    <i>
      <x v="5"/>
    </i>
    <i>
      <x v="6"/>
    </i>
    <i>
      <x v="7"/>
    </i>
    <i>
      <x v="9"/>
    </i>
    <i>
      <x v="10"/>
    </i>
    <i>
      <x v="14"/>
    </i>
    <i>
      <x v="15"/>
    </i>
    <i>
      <x v="18"/>
    </i>
    <i>
      <x v="19"/>
    </i>
    <i>
      <x v="20"/>
    </i>
    <i>
      <x v="21"/>
    </i>
    <i>
      <x v="23"/>
    </i>
    <i>
      <x v="25"/>
    </i>
    <i>
      <x v="28"/>
    </i>
    <i>
      <x v="30"/>
    </i>
    <i>
      <x v="31"/>
    </i>
    <i>
      <x v="32"/>
    </i>
    <i>
      <x v="33"/>
    </i>
    <i>
      <x v="38"/>
    </i>
    <i>
      <x v="40"/>
    </i>
    <i>
      <x v="41"/>
    </i>
    <i>
      <x v="42"/>
    </i>
    <i t="grand">
      <x/>
    </i>
  </rowItems>
  <colFields count="3">
    <field x="42"/>
    <field x="41"/>
    <field x="21"/>
  </colFields>
  <colItems count="8">
    <i>
      <x v="5"/>
      <x v="129"/>
    </i>
    <i r="1">
      <x v="136"/>
    </i>
    <i r="1">
      <x v="143"/>
    </i>
    <i r="1">
      <x v="150"/>
    </i>
    <i t="default">
      <x v="5"/>
    </i>
    <i>
      <x v="6"/>
    </i>
    <i>
      <x v="7"/>
    </i>
    <i t="grand">
      <x/>
    </i>
  </colItems>
  <pageFields count="1">
    <pageField fld="4" item="1" hier="-1"/>
  </pageFields>
  <dataFields count="1">
    <dataField name="Sum of Quantity" fld="31" baseField="0" baseItem="0"/>
  </dataFields>
  <formats count="2">
    <format dxfId="1">
      <pivotArea collapsedLevelsAreSubtotals="1" fieldPosition="0">
        <references count="3">
          <reference field="22" count="1">
            <x v="33"/>
          </reference>
          <reference field="41" count="1" selected="0">
            <x v="157"/>
          </reference>
          <reference field="42" count="1" selected="0">
            <x v="6"/>
          </reference>
        </references>
      </pivotArea>
    </format>
    <format dxfId="0">
      <pivotArea collapsedLevelsAreSubtotals="1" fieldPosition="0">
        <references count="3">
          <reference field="22" count="1">
            <x v="33"/>
          </reference>
          <reference field="41" count="2" selected="0">
            <x v="143"/>
            <x v="150"/>
          </reference>
          <reference field="42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DE541-5F06-46C3-A251-DA90E9C9C6B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5:T163" firstHeaderRow="1" firstDataRow="4" firstDataCol="1"/>
  <pivotFields count="5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5">
        <item x="14"/>
        <item x="12"/>
        <item x="8"/>
        <item x="27"/>
        <item x="43"/>
        <item x="0"/>
        <item x="11"/>
        <item x="16"/>
        <item x="5"/>
        <item x="42"/>
        <item x="28"/>
        <item x="9"/>
        <item x="23"/>
        <item x="10"/>
        <item x="17"/>
        <item x="7"/>
        <item x="40"/>
        <item x="36"/>
        <item x="21"/>
        <item x="33"/>
        <item x="34"/>
        <item x="44"/>
        <item x="29"/>
        <item x="1"/>
        <item x="45"/>
        <item x="35"/>
        <item x="46"/>
        <item x="47"/>
        <item x="13"/>
        <item x="30"/>
        <item x="2"/>
        <item x="38"/>
        <item x="18"/>
        <item x="6"/>
        <item x="15"/>
        <item x="22"/>
        <item x="3"/>
        <item x="52"/>
        <item x="26"/>
        <item x="51"/>
        <item x="50"/>
        <item x="41"/>
        <item x="37"/>
        <item x="19"/>
        <item x="48"/>
        <item x="32"/>
        <item x="31"/>
        <item x="20"/>
        <item x="24"/>
        <item x="49"/>
        <item x="4"/>
        <item x="25"/>
        <item x="39"/>
        <item x="53"/>
        <item t="default"/>
      </items>
    </pivotField>
    <pivotField dataField="1" showAll="0"/>
    <pivotField axis="axisCol" showAll="0">
      <items count="7">
        <item sd="0" x="0"/>
        <item sd="0" x="1"/>
        <item x="2"/>
        <item x="3"/>
        <item x="4"/>
        <item sd="0" x="5"/>
        <item t="default"/>
      </items>
    </pivotField>
    <pivotField axis="axisCol" showAll="0">
      <items count="5">
        <item sd="0" x="0"/>
        <item x="1"/>
        <item x="2"/>
        <item sd="0" x="3"/>
        <item t="default"/>
      </items>
    </pivotField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3">
    <field x="4"/>
    <field x="3"/>
    <field x="0"/>
  </colFields>
  <colItems count="19">
    <i>
      <x/>
    </i>
    <i>
      <x v="1"/>
      <x v="3"/>
      <x v="8"/>
    </i>
    <i r="2">
      <x v="9"/>
    </i>
    <i t="default" r="1">
      <x v="3"/>
    </i>
    <i r="1">
      <x v="4"/>
      <x v="10"/>
    </i>
    <i r="2">
      <x v="11"/>
    </i>
    <i r="2">
      <x v="12"/>
    </i>
    <i t="default" r="1">
      <x v="4"/>
    </i>
    <i t="default">
      <x v="1"/>
    </i>
    <i>
      <x v="2"/>
      <x v="1"/>
    </i>
    <i r="1">
      <x v="2"/>
      <x v="4"/>
    </i>
    <i r="2">
      <x v="5"/>
    </i>
    <i r="2">
      <x v="6"/>
    </i>
    <i t="default" r="1">
      <x v="2"/>
    </i>
    <i r="1">
      <x v="3"/>
      <x v="7"/>
    </i>
    <i r="2">
      <x v="8"/>
    </i>
    <i t="default" r="1">
      <x v="3"/>
    </i>
    <i t="default">
      <x v="2"/>
    </i>
    <i t="grand">
      <x/>
    </i>
  </colItems>
  <dataFields count="1"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9A00D-AB52-404F-9D82-E82EE3707DC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R63" firstHeaderRow="1" firstDataRow="3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9">
        <item x="1"/>
        <item x="16"/>
        <item x="12"/>
        <item x="4"/>
        <item x="9"/>
        <item x="7"/>
        <item x="0"/>
        <item x="5"/>
        <item x="15"/>
        <item x="3"/>
        <item x="2"/>
        <item x="11"/>
        <item x="10"/>
        <item x="13"/>
        <item x="14"/>
        <item x="6"/>
        <item x="8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15">
        <item sd="0" x="0"/>
        <item sd="0" x="1"/>
        <item sd="0" x="2"/>
        <item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42"/>
    <field x="21"/>
  </colFields>
  <colItems count="17">
    <i>
      <x/>
    </i>
    <i>
      <x v="3"/>
      <x v="66"/>
    </i>
    <i r="1">
      <x v="73"/>
    </i>
    <i r="1">
      <x v="80"/>
    </i>
    <i r="1">
      <x v="87"/>
    </i>
    <i t="default">
      <x v="3"/>
    </i>
    <i>
      <x v="4"/>
      <x v="94"/>
    </i>
    <i r="1">
      <x v="101"/>
    </i>
    <i r="1">
      <x v="108"/>
    </i>
    <i r="1">
      <x v="115"/>
    </i>
    <i t="default">
      <x v="4"/>
    </i>
    <i>
      <x v="5"/>
      <x v="122"/>
    </i>
    <i r="1">
      <x v="129"/>
    </i>
    <i r="1">
      <x v="136"/>
    </i>
    <i r="1">
      <x v="143"/>
    </i>
    <i t="default">
      <x v="5"/>
    </i>
    <i t="grand">
      <x/>
    </i>
  </colItems>
  <dataFields count="1">
    <dataField name="Sum of Quantity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4D1D6-5D95-467C-952A-392CC6B32E1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T37" firstHeaderRow="1" firstDataRow="4" firstDataCol="1" rowPageCount="1" colPageCount="1"/>
  <pivotFields count="43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31">
        <item x="11"/>
        <item x="24"/>
        <item x="0"/>
        <item x="16"/>
        <item x="1"/>
        <item x="27"/>
        <item x="5"/>
        <item x="26"/>
        <item x="20"/>
        <item x="2"/>
        <item x="12"/>
        <item x="6"/>
        <item x="7"/>
        <item x="10"/>
        <item x="14"/>
        <item x="28"/>
        <item x="3"/>
        <item x="15"/>
        <item x="23"/>
        <item x="25"/>
        <item x="17"/>
        <item x="18"/>
        <item x="8"/>
        <item x="4"/>
        <item x="22"/>
        <item x="19"/>
        <item x="9"/>
        <item x="21"/>
        <item x="13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x="6"/>
        <item x="7"/>
        <item x="8"/>
        <item sd="0" x="9"/>
        <item sd="0" x="10"/>
        <item sd="0" x="11"/>
        <item sd="0" x="12"/>
        <item sd="0" x="13"/>
        <item t="default"/>
      </items>
    </pivotField>
  </pivotFields>
  <rowFields count="1">
    <field x="2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3">
    <field x="42"/>
    <field x="41"/>
    <field x="21"/>
  </colFields>
  <colItems count="19">
    <i>
      <x v="1"/>
    </i>
    <i>
      <x v="2"/>
    </i>
    <i>
      <x v="3"/>
    </i>
    <i>
      <x v="4"/>
    </i>
    <i>
      <x v="5"/>
    </i>
    <i>
      <x v="6"/>
      <x v="157"/>
    </i>
    <i r="1">
      <x v="164"/>
    </i>
    <i r="1">
      <x v="171"/>
    </i>
    <i r="1">
      <x v="178"/>
    </i>
    <i t="default">
      <x v="6"/>
    </i>
    <i>
      <x v="7"/>
      <x v="185"/>
    </i>
    <i r="1">
      <x v="192"/>
    </i>
    <i r="1">
      <x v="199"/>
    </i>
    <i r="1">
      <x v="206"/>
    </i>
    <i r="1">
      <x v="213"/>
    </i>
    <i t="default">
      <x v="7"/>
    </i>
    <i>
      <x v="8"/>
      <x v="220"/>
    </i>
    <i t="default">
      <x v="8"/>
    </i>
    <i t="grand">
      <x/>
    </i>
  </colItems>
  <pageFields count="1">
    <pageField fld="4" item="0" hier="-1"/>
  </pageFields>
  <dataFields count="1">
    <dataField name="Sum of Quantity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C27C-9439-47A8-9B6A-E65651FC195C}">
  <dimension ref="A1:CR21"/>
  <sheetViews>
    <sheetView tabSelected="1" topLeftCell="F11" zoomScaleNormal="100" workbookViewId="0">
      <selection activeCell="G16" sqref="G16"/>
    </sheetView>
  </sheetViews>
  <sheetFormatPr defaultRowHeight="14.5" x14ac:dyDescent="0.35"/>
  <cols>
    <col min="1" max="1" width="12.453125" bestFit="1" customWidth="1"/>
    <col min="2" max="2" width="12.453125" customWidth="1"/>
    <col min="3" max="3" width="14.453125" bestFit="1" customWidth="1"/>
    <col min="4" max="4" width="15.7265625" bestFit="1" customWidth="1"/>
    <col min="5" max="5" width="15.7265625" customWidth="1"/>
    <col min="6" max="6" width="68.54296875" bestFit="1" customWidth="1"/>
    <col min="7" max="7" width="53.54296875" customWidth="1"/>
    <col min="8" max="8" width="14.54296875" bestFit="1" customWidth="1"/>
    <col min="9" max="9" width="17.1796875" bestFit="1" customWidth="1"/>
    <col min="10" max="10" width="30.7265625" bestFit="1" customWidth="1"/>
    <col min="11" max="11" width="27.81640625" bestFit="1" customWidth="1"/>
    <col min="12" max="12" width="14.7265625" bestFit="1" customWidth="1"/>
    <col min="13" max="13" width="15.81640625" bestFit="1" customWidth="1"/>
    <col min="14" max="14" width="14.1796875" bestFit="1" customWidth="1"/>
    <col min="15" max="15" width="16.26953125" bestFit="1" customWidth="1"/>
    <col min="16" max="16" width="14.81640625" customWidth="1"/>
    <col min="17" max="18" width="10.54296875" bestFit="1" customWidth="1"/>
    <col min="19" max="20" width="7.81640625" bestFit="1" customWidth="1"/>
    <col min="21" max="22" width="10.54296875" bestFit="1" customWidth="1"/>
    <col min="23" max="23" width="8" bestFit="1" customWidth="1"/>
    <col min="24" max="24" width="27.81640625" customWidth="1"/>
    <col min="25" max="26" width="5.26953125" bestFit="1" customWidth="1"/>
    <col min="27" max="27" width="8.54296875" bestFit="1" customWidth="1"/>
    <col min="28" max="30" width="9.7265625" bestFit="1" customWidth="1"/>
    <col min="31" max="31" width="8.54296875" bestFit="1" customWidth="1"/>
    <col min="32" max="33" width="9.7265625" bestFit="1" customWidth="1"/>
    <col min="34" max="36" width="9.54296875" bestFit="1" customWidth="1"/>
    <col min="37" max="42" width="8.453125" bestFit="1" customWidth="1"/>
    <col min="43" max="48" width="8.1796875" bestFit="1" customWidth="1"/>
    <col min="49" max="49" width="10.453125" bestFit="1" customWidth="1"/>
    <col min="50" max="51" width="8.81640625" customWidth="1"/>
    <col min="52" max="54" width="8.1796875" bestFit="1" customWidth="1"/>
    <col min="55" max="72" width="9.1796875" bestFit="1" customWidth="1"/>
    <col min="73" max="73" width="9.1796875" customWidth="1"/>
    <col min="74" max="75" width="9.1796875" bestFit="1" customWidth="1"/>
    <col min="76" max="78" width="9.7265625" bestFit="1" customWidth="1"/>
    <col min="79" max="79" width="8.54296875" bestFit="1" customWidth="1"/>
    <col min="80" max="81" width="9.7265625" bestFit="1" customWidth="1"/>
    <col min="82" max="84" width="9.54296875" bestFit="1" customWidth="1"/>
    <col min="85" max="87" width="8.453125" bestFit="1" customWidth="1"/>
  </cols>
  <sheetData>
    <row r="1" spans="1:96" ht="19" thickBot="1" x14ac:dyDescent="0.5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4"/>
      <c r="X1" s="7" t="s">
        <v>1</v>
      </c>
      <c r="Y1" s="92" t="s">
        <v>2</v>
      </c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1" t="s">
        <v>3</v>
      </c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</row>
    <row r="2" spans="1:96" s="6" customFormat="1" ht="15" thickBot="1" x14ac:dyDescent="0.4">
      <c r="A2" s="98" t="s">
        <v>4</v>
      </c>
      <c r="B2" s="100" t="s">
        <v>5</v>
      </c>
      <c r="C2" s="100" t="s">
        <v>6</v>
      </c>
      <c r="D2" s="100" t="s">
        <v>7</v>
      </c>
      <c r="E2" s="100" t="s">
        <v>8</v>
      </c>
      <c r="F2" s="100" t="s">
        <v>9</v>
      </c>
      <c r="G2" s="100" t="s">
        <v>10</v>
      </c>
      <c r="H2" s="100" t="s">
        <v>11</v>
      </c>
      <c r="I2" s="100" t="s">
        <v>12</v>
      </c>
      <c r="J2" s="100" t="s">
        <v>13</v>
      </c>
      <c r="K2" s="109" t="s">
        <v>14</v>
      </c>
      <c r="L2" s="98" t="s">
        <v>15</v>
      </c>
      <c r="M2" s="109"/>
      <c r="N2" s="105" t="s">
        <v>16</v>
      </c>
      <c r="O2" s="106"/>
      <c r="P2" s="98" t="s">
        <v>17</v>
      </c>
      <c r="Q2" s="100"/>
      <c r="R2" s="100"/>
      <c r="S2" s="109"/>
      <c r="T2" s="98" t="s">
        <v>18</v>
      </c>
      <c r="U2" s="100"/>
      <c r="V2" s="100"/>
      <c r="W2" s="109"/>
      <c r="X2" s="58" t="s">
        <v>19</v>
      </c>
      <c r="Y2" s="93" t="s">
        <v>20</v>
      </c>
      <c r="Z2" s="93"/>
      <c r="AA2" s="93"/>
      <c r="AB2" s="93" t="s">
        <v>21</v>
      </c>
      <c r="AC2" s="93"/>
      <c r="AD2" s="93"/>
      <c r="AE2" s="93" t="s">
        <v>22</v>
      </c>
      <c r="AF2" s="93"/>
      <c r="AG2" s="93"/>
      <c r="AH2" s="93" t="s">
        <v>23</v>
      </c>
      <c r="AI2" s="93"/>
      <c r="AJ2" s="93"/>
      <c r="AK2" s="93" t="s">
        <v>24</v>
      </c>
      <c r="AL2" s="93"/>
      <c r="AM2" s="93"/>
      <c r="AN2" s="93" t="s">
        <v>25</v>
      </c>
      <c r="AO2" s="93"/>
      <c r="AP2" s="93"/>
      <c r="AQ2" s="93" t="s">
        <v>26</v>
      </c>
      <c r="AR2" s="93"/>
      <c r="AS2" s="93"/>
      <c r="AT2" s="93" t="s">
        <v>27</v>
      </c>
      <c r="AU2" s="93"/>
      <c r="AV2" s="93"/>
      <c r="AW2" s="93" t="s">
        <v>28</v>
      </c>
      <c r="AX2" s="93"/>
      <c r="AY2" s="93"/>
      <c r="AZ2" s="93" t="s">
        <v>29</v>
      </c>
      <c r="BA2" s="93"/>
      <c r="BB2" s="93"/>
      <c r="BC2" s="93" t="s">
        <v>30</v>
      </c>
      <c r="BD2" s="93"/>
      <c r="BE2" s="93"/>
      <c r="BF2" s="93" t="s">
        <v>31</v>
      </c>
      <c r="BG2" s="93"/>
      <c r="BH2" s="94"/>
      <c r="BI2" s="93" t="s">
        <v>32</v>
      </c>
      <c r="BJ2" s="93"/>
      <c r="BK2" s="93"/>
      <c r="BL2" s="93" t="s">
        <v>33</v>
      </c>
      <c r="BM2" s="93"/>
      <c r="BN2" s="93"/>
      <c r="BO2" s="93" t="s">
        <v>34</v>
      </c>
      <c r="BP2" s="93"/>
      <c r="BQ2" s="93"/>
      <c r="BR2" s="93" t="s">
        <v>35</v>
      </c>
      <c r="BS2" s="93"/>
      <c r="BT2" s="94"/>
      <c r="BU2" s="93" t="s">
        <v>36</v>
      </c>
      <c r="BV2" s="93"/>
      <c r="BW2" s="93"/>
      <c r="BX2" s="93" t="s">
        <v>21</v>
      </c>
      <c r="BY2" s="93"/>
      <c r="BZ2" s="93"/>
      <c r="CA2" s="93" t="s">
        <v>22</v>
      </c>
      <c r="CB2" s="93"/>
      <c r="CC2" s="93"/>
      <c r="CD2" s="93" t="s">
        <v>23</v>
      </c>
      <c r="CE2" s="93"/>
      <c r="CF2" s="93"/>
      <c r="CG2" s="93" t="s">
        <v>24</v>
      </c>
      <c r="CH2" s="93"/>
      <c r="CI2" s="93"/>
      <c r="CJ2" s="93" t="s">
        <v>25</v>
      </c>
      <c r="CK2" s="93"/>
      <c r="CL2" s="93"/>
      <c r="CM2" s="93" t="s">
        <v>26</v>
      </c>
      <c r="CN2" s="93"/>
      <c r="CO2" s="93"/>
      <c r="CP2" s="93" t="s">
        <v>27</v>
      </c>
      <c r="CQ2" s="93"/>
      <c r="CR2" s="94"/>
    </row>
    <row r="3" spans="1:96" s="6" customFormat="1" x14ac:dyDescent="0.35">
      <c r="A3" s="99"/>
      <c r="B3" s="101"/>
      <c r="C3" s="101"/>
      <c r="D3" s="101"/>
      <c r="E3" s="101"/>
      <c r="F3" s="101"/>
      <c r="G3" s="101"/>
      <c r="H3" s="101"/>
      <c r="I3" s="101"/>
      <c r="J3" s="101"/>
      <c r="K3" s="110"/>
      <c r="L3" s="99" t="s">
        <v>37</v>
      </c>
      <c r="M3" s="110" t="s">
        <v>38</v>
      </c>
      <c r="N3" s="98" t="s">
        <v>39</v>
      </c>
      <c r="O3" s="100" t="s">
        <v>40</v>
      </c>
      <c r="P3" s="99" t="s">
        <v>41</v>
      </c>
      <c r="Q3" s="101" t="s">
        <v>42</v>
      </c>
      <c r="R3" s="101" t="s">
        <v>43</v>
      </c>
      <c r="S3" s="110" t="s">
        <v>44</v>
      </c>
      <c r="T3" s="99" t="s">
        <v>41</v>
      </c>
      <c r="U3" s="101" t="s">
        <v>42</v>
      </c>
      <c r="V3" s="101" t="s">
        <v>43</v>
      </c>
      <c r="W3" s="110" t="s">
        <v>44</v>
      </c>
      <c r="X3" s="59" t="s">
        <v>42</v>
      </c>
      <c r="Y3" s="97">
        <v>0</v>
      </c>
      <c r="Z3" s="97"/>
      <c r="AA3" s="97"/>
      <c r="AB3" s="97">
        <v>0</v>
      </c>
      <c r="AC3" s="97"/>
      <c r="AD3" s="97"/>
      <c r="AE3" s="95">
        <v>144998.705722071</v>
      </c>
      <c r="AF3" s="95"/>
      <c r="AG3" s="95"/>
      <c r="AH3" s="95">
        <v>150031</v>
      </c>
      <c r="AI3" s="95"/>
      <c r="AJ3" s="95"/>
      <c r="AK3" s="95">
        <v>185667</v>
      </c>
      <c r="AL3" s="95"/>
      <c r="AM3" s="95"/>
      <c r="AN3" s="95">
        <v>19367.200413223101</v>
      </c>
      <c r="AO3" s="95"/>
      <c r="AP3" s="95"/>
      <c r="AQ3" s="95">
        <v>0</v>
      </c>
      <c r="AR3" s="95"/>
      <c r="AS3" s="95"/>
      <c r="AT3" s="95">
        <v>0</v>
      </c>
      <c r="AU3" s="95"/>
      <c r="AV3" s="95"/>
      <c r="AW3" s="95"/>
      <c r="AX3" s="95"/>
      <c r="AY3" s="95"/>
      <c r="AZ3" s="95">
        <v>0</v>
      </c>
      <c r="BA3" s="95"/>
      <c r="BB3" s="95"/>
      <c r="BC3" s="95">
        <v>0</v>
      </c>
      <c r="BD3" s="95"/>
      <c r="BE3" s="95"/>
      <c r="BF3" s="95">
        <v>0</v>
      </c>
      <c r="BG3" s="95"/>
      <c r="BH3" s="96"/>
      <c r="BI3" s="95">
        <v>0</v>
      </c>
      <c r="BJ3" s="95"/>
      <c r="BK3" s="95"/>
      <c r="BL3" s="95">
        <v>0</v>
      </c>
      <c r="BM3" s="95"/>
      <c r="BN3" s="95"/>
      <c r="BO3" s="95">
        <v>0</v>
      </c>
      <c r="BP3" s="95"/>
      <c r="BQ3" s="95"/>
      <c r="BR3" s="95">
        <v>0</v>
      </c>
      <c r="BS3" s="95"/>
      <c r="BT3" s="96"/>
      <c r="BU3" s="95">
        <v>0</v>
      </c>
      <c r="BV3" s="95"/>
      <c r="BW3" s="95"/>
      <c r="BX3" s="95">
        <v>0</v>
      </c>
      <c r="BY3" s="95"/>
      <c r="BZ3" s="95"/>
      <c r="CA3" s="95">
        <v>144998.705722071</v>
      </c>
      <c r="CB3" s="95"/>
      <c r="CC3" s="95"/>
      <c r="CD3" s="95">
        <v>150031</v>
      </c>
      <c r="CE3" s="95"/>
      <c r="CF3" s="95"/>
      <c r="CG3" s="95">
        <v>131463</v>
      </c>
      <c r="CH3" s="95"/>
      <c r="CI3" s="95"/>
      <c r="CJ3" s="95">
        <v>0</v>
      </c>
      <c r="CK3" s="95"/>
      <c r="CL3" s="95"/>
      <c r="CM3" s="95">
        <v>0</v>
      </c>
      <c r="CN3" s="95"/>
      <c r="CO3" s="95"/>
      <c r="CP3" s="95">
        <v>0</v>
      </c>
      <c r="CQ3" s="95"/>
      <c r="CR3" s="96"/>
    </row>
    <row r="4" spans="1:96" s="6" customFormat="1" x14ac:dyDescent="0.35">
      <c r="A4" s="99"/>
      <c r="B4" s="101"/>
      <c r="C4" s="101"/>
      <c r="D4" s="101"/>
      <c r="E4" s="101"/>
      <c r="F4" s="101"/>
      <c r="G4" s="101"/>
      <c r="H4" s="101"/>
      <c r="I4" s="101"/>
      <c r="J4" s="101"/>
      <c r="K4" s="110"/>
      <c r="L4" s="99"/>
      <c r="M4" s="110"/>
      <c r="N4" s="99"/>
      <c r="O4" s="101"/>
      <c r="P4" s="99"/>
      <c r="Q4" s="101"/>
      <c r="R4" s="101"/>
      <c r="S4" s="110"/>
      <c r="T4" s="99"/>
      <c r="U4" s="101"/>
      <c r="V4" s="101"/>
      <c r="W4" s="110"/>
      <c r="X4" s="59" t="s">
        <v>45</v>
      </c>
      <c r="Y4" s="97">
        <v>0</v>
      </c>
      <c r="Z4" s="97"/>
      <c r="AA4" s="97"/>
      <c r="AB4" s="97">
        <v>0</v>
      </c>
      <c r="AC4" s="97"/>
      <c r="AD4" s="97"/>
      <c r="AE4" s="95">
        <v>0</v>
      </c>
      <c r="AF4" s="95"/>
      <c r="AG4" s="95"/>
      <c r="AH4" s="95">
        <v>0</v>
      </c>
      <c r="AI4" s="95"/>
      <c r="AJ4" s="95"/>
      <c r="AK4" s="95">
        <v>250170.29972752038</v>
      </c>
      <c r="AL4" s="95"/>
      <c r="AM4" s="95"/>
      <c r="AN4" s="95">
        <v>25017.029972752043</v>
      </c>
      <c r="AO4" s="95"/>
      <c r="AP4" s="95"/>
      <c r="AQ4" s="95">
        <v>0</v>
      </c>
      <c r="AR4" s="95"/>
      <c r="AS4" s="95"/>
      <c r="AT4" s="95">
        <v>0</v>
      </c>
      <c r="AU4" s="95"/>
      <c r="AV4" s="95"/>
      <c r="AW4" s="95"/>
      <c r="AX4" s="95"/>
      <c r="AY4" s="95"/>
      <c r="AZ4" s="95">
        <v>0</v>
      </c>
      <c r="BA4" s="95"/>
      <c r="BB4" s="95"/>
      <c r="BC4" s="95">
        <v>0</v>
      </c>
      <c r="BD4" s="95"/>
      <c r="BE4" s="95"/>
      <c r="BF4" s="95">
        <v>0</v>
      </c>
      <c r="BG4" s="95"/>
      <c r="BH4" s="96"/>
      <c r="BI4" s="95">
        <v>0</v>
      </c>
      <c r="BJ4" s="95"/>
      <c r="BK4" s="95"/>
      <c r="BL4" s="95">
        <v>0</v>
      </c>
      <c r="BM4" s="95"/>
      <c r="BN4" s="95"/>
      <c r="BO4" s="95">
        <v>0</v>
      </c>
      <c r="BP4" s="95"/>
      <c r="BQ4" s="95"/>
      <c r="BR4" s="95">
        <v>0</v>
      </c>
      <c r="BS4" s="95"/>
      <c r="BT4" s="96"/>
      <c r="BU4" s="95">
        <v>0</v>
      </c>
      <c r="BV4" s="95"/>
      <c r="BW4" s="95"/>
      <c r="BX4" s="95">
        <v>0</v>
      </c>
      <c r="BY4" s="95"/>
      <c r="BZ4" s="95"/>
      <c r="CA4" s="95">
        <v>0</v>
      </c>
      <c r="CB4" s="95"/>
      <c r="CC4" s="95"/>
      <c r="CD4" s="95"/>
      <c r="CE4" s="95"/>
      <c r="CF4" s="95"/>
      <c r="CG4" s="95">
        <v>0</v>
      </c>
      <c r="CH4" s="95"/>
      <c r="CI4" s="95"/>
      <c r="CJ4" s="95">
        <v>0</v>
      </c>
      <c r="CK4" s="95"/>
      <c r="CL4" s="95"/>
      <c r="CM4" s="95">
        <v>0</v>
      </c>
      <c r="CN4" s="95"/>
      <c r="CO4" s="95"/>
      <c r="CP4" s="95">
        <v>0</v>
      </c>
      <c r="CQ4" s="95"/>
      <c r="CR4" s="96"/>
    </row>
    <row r="5" spans="1:96" s="6" customFormat="1" ht="15" thickBot="1" x14ac:dyDescent="0.4">
      <c r="A5" s="99"/>
      <c r="B5" s="101"/>
      <c r="C5" s="101"/>
      <c r="D5" s="101"/>
      <c r="E5" s="101"/>
      <c r="F5" s="101"/>
      <c r="G5" s="101"/>
      <c r="H5" s="101"/>
      <c r="I5" s="101"/>
      <c r="J5" s="101"/>
      <c r="K5" s="110"/>
      <c r="L5" s="99"/>
      <c r="M5" s="110"/>
      <c r="N5" s="107"/>
      <c r="O5" s="108"/>
      <c r="P5" s="99"/>
      <c r="Q5" s="101"/>
      <c r="R5" s="101"/>
      <c r="S5" s="110"/>
      <c r="T5" s="99"/>
      <c r="U5" s="101"/>
      <c r="V5" s="101"/>
      <c r="W5" s="110"/>
      <c r="X5" s="59" t="s">
        <v>46</v>
      </c>
      <c r="Y5" s="37" t="s">
        <v>47</v>
      </c>
      <c r="Z5" s="37" t="s">
        <v>48</v>
      </c>
      <c r="AA5" s="37" t="s">
        <v>49</v>
      </c>
      <c r="AB5" s="37" t="s">
        <v>50</v>
      </c>
      <c r="AC5" s="37" t="s">
        <v>51</v>
      </c>
      <c r="AD5" s="37" t="s">
        <v>52</v>
      </c>
      <c r="AE5" s="37" t="s">
        <v>53</v>
      </c>
      <c r="AF5" s="37" t="s">
        <v>54</v>
      </c>
      <c r="AG5" s="37" t="s">
        <v>55</v>
      </c>
      <c r="AH5" s="37" t="s">
        <v>56</v>
      </c>
      <c r="AI5" s="37" t="s">
        <v>57</v>
      </c>
      <c r="AJ5" s="37" t="s">
        <v>58</v>
      </c>
      <c r="AK5" s="37" t="s">
        <v>47</v>
      </c>
      <c r="AL5" s="37" t="s">
        <v>48</v>
      </c>
      <c r="AM5" s="37" t="s">
        <v>49</v>
      </c>
      <c r="AN5" s="37" t="s">
        <v>50</v>
      </c>
      <c r="AO5" s="37" t="s">
        <v>51</v>
      </c>
      <c r="AP5" s="37" t="s">
        <v>52</v>
      </c>
      <c r="AQ5" s="37" t="s">
        <v>53</v>
      </c>
      <c r="AR5" s="37" t="s">
        <v>54</v>
      </c>
      <c r="AS5" s="37" t="s">
        <v>55</v>
      </c>
      <c r="AT5" s="37" t="s">
        <v>56</v>
      </c>
      <c r="AU5" s="37" t="s">
        <v>57</v>
      </c>
      <c r="AV5" s="37" t="s">
        <v>58</v>
      </c>
      <c r="AW5" s="37" t="s">
        <v>47</v>
      </c>
      <c r="AX5" s="37" t="s">
        <v>48</v>
      </c>
      <c r="AY5" s="37" t="s">
        <v>49</v>
      </c>
      <c r="AZ5" s="37" t="s">
        <v>50</v>
      </c>
      <c r="BA5" s="37" t="s">
        <v>51</v>
      </c>
      <c r="BB5" s="37" t="s">
        <v>52</v>
      </c>
      <c r="BC5" s="37" t="s">
        <v>53</v>
      </c>
      <c r="BD5" s="37" t="s">
        <v>54</v>
      </c>
      <c r="BE5" s="37" t="s">
        <v>55</v>
      </c>
      <c r="BF5" s="37" t="s">
        <v>56</v>
      </c>
      <c r="BG5" s="37" t="s">
        <v>57</v>
      </c>
      <c r="BH5" s="37" t="s">
        <v>58</v>
      </c>
      <c r="BI5" s="37" t="s">
        <v>47</v>
      </c>
      <c r="BJ5" s="37" t="s">
        <v>48</v>
      </c>
      <c r="BK5" s="37" t="s">
        <v>49</v>
      </c>
      <c r="BL5" s="37" t="s">
        <v>50</v>
      </c>
      <c r="BM5" s="37" t="s">
        <v>51</v>
      </c>
      <c r="BN5" s="37" t="s">
        <v>52</v>
      </c>
      <c r="BO5" s="37" t="s">
        <v>53</v>
      </c>
      <c r="BP5" s="37" t="s">
        <v>54</v>
      </c>
      <c r="BQ5" s="37" t="s">
        <v>55</v>
      </c>
      <c r="BR5" s="37" t="s">
        <v>56</v>
      </c>
      <c r="BS5" s="37" t="s">
        <v>57</v>
      </c>
      <c r="BT5" s="37" t="s">
        <v>58</v>
      </c>
      <c r="BU5" s="37" t="s">
        <v>47</v>
      </c>
      <c r="BV5" s="37" t="s">
        <v>48</v>
      </c>
      <c r="BW5" s="37" t="s">
        <v>49</v>
      </c>
      <c r="BX5" s="37" t="s">
        <v>50</v>
      </c>
      <c r="BY5" s="37" t="s">
        <v>51</v>
      </c>
      <c r="BZ5" s="37" t="s">
        <v>52</v>
      </c>
      <c r="CA5" s="37" t="s">
        <v>53</v>
      </c>
      <c r="CB5" s="37" t="s">
        <v>54</v>
      </c>
      <c r="CC5" s="37" t="s">
        <v>55</v>
      </c>
      <c r="CD5" s="37" t="s">
        <v>56</v>
      </c>
      <c r="CE5" s="37" t="s">
        <v>57</v>
      </c>
      <c r="CF5" s="37" t="s">
        <v>58</v>
      </c>
      <c r="CG5" s="37" t="s">
        <v>47</v>
      </c>
      <c r="CH5" s="37" t="s">
        <v>48</v>
      </c>
      <c r="CI5" s="37" t="s">
        <v>49</v>
      </c>
      <c r="CJ5" s="37" t="s">
        <v>50</v>
      </c>
      <c r="CK5" s="37" t="s">
        <v>51</v>
      </c>
      <c r="CL5" s="37" t="s">
        <v>52</v>
      </c>
      <c r="CM5" s="37" t="s">
        <v>53</v>
      </c>
      <c r="CN5" s="37" t="s">
        <v>54</v>
      </c>
      <c r="CO5" s="37" t="s">
        <v>55</v>
      </c>
      <c r="CP5" s="37" t="s">
        <v>56</v>
      </c>
      <c r="CQ5" s="37" t="s">
        <v>57</v>
      </c>
      <c r="CR5" s="60" t="s">
        <v>58</v>
      </c>
    </row>
    <row r="6" spans="1:96" s="6" customFormat="1" ht="15" thickBot="1" x14ac:dyDescent="0.4">
      <c r="A6" s="61" t="s">
        <v>59</v>
      </c>
      <c r="B6" s="62" t="s">
        <v>60</v>
      </c>
      <c r="C6" s="62">
        <v>400379228</v>
      </c>
      <c r="D6" s="62">
        <v>301018758</v>
      </c>
      <c r="E6" s="62">
        <v>11105402</v>
      </c>
      <c r="F6" s="62" t="s">
        <v>61</v>
      </c>
      <c r="G6" s="62" t="e" vm="1">
        <v>#VALUE!</v>
      </c>
      <c r="H6" s="63">
        <v>499932</v>
      </c>
      <c r="I6" s="63">
        <v>1834750.44</v>
      </c>
      <c r="J6" s="63">
        <v>6194</v>
      </c>
      <c r="K6" s="64">
        <v>7744</v>
      </c>
      <c r="L6" s="65">
        <v>90</v>
      </c>
      <c r="M6" s="65">
        <v>90</v>
      </c>
      <c r="N6" s="66">
        <v>23123</v>
      </c>
      <c r="O6" s="63">
        <v>0</v>
      </c>
      <c r="P6" s="66">
        <v>6194</v>
      </c>
      <c r="Q6" s="63">
        <v>500340</v>
      </c>
      <c r="R6" s="63">
        <v>262894</v>
      </c>
      <c r="S6" s="67">
        <f>R6/Q6</f>
        <v>0.52543070711915896</v>
      </c>
      <c r="T6" s="66">
        <v>7481</v>
      </c>
      <c r="U6" s="63">
        <v>500340</v>
      </c>
      <c r="V6" s="63">
        <v>238492</v>
      </c>
      <c r="W6" s="67">
        <f>V6/U6</f>
        <v>0.47665987128752446</v>
      </c>
      <c r="X6" s="68" t="s">
        <v>42</v>
      </c>
      <c r="Y6" s="69">
        <v>0</v>
      </c>
      <c r="Z6" s="69">
        <v>0</v>
      </c>
      <c r="AA6" s="69">
        <v>0</v>
      </c>
      <c r="AB6" s="69">
        <v>0</v>
      </c>
      <c r="AC6" s="69">
        <v>0</v>
      </c>
      <c r="AD6" s="69">
        <v>0</v>
      </c>
      <c r="AE6" s="69">
        <v>0</v>
      </c>
      <c r="AF6" s="69">
        <v>0</v>
      </c>
      <c r="AG6" s="69">
        <v>0</v>
      </c>
      <c r="AH6" s="63">
        <v>42349.6115702479</v>
      </c>
      <c r="AI6" s="63">
        <v>47772.42768595041</v>
      </c>
      <c r="AJ6" s="63">
        <v>59909.206611570247</v>
      </c>
      <c r="AK6" s="63">
        <v>59392.747933884297</v>
      </c>
      <c r="AL6" s="63">
        <v>72045.985537190078</v>
      </c>
      <c r="AM6" s="63">
        <v>54228.161157024791</v>
      </c>
      <c r="AN6" s="69">
        <v>0</v>
      </c>
      <c r="AO6" s="69">
        <v>0</v>
      </c>
      <c r="AP6" s="69">
        <v>0</v>
      </c>
      <c r="AQ6" s="69">
        <v>0</v>
      </c>
      <c r="AR6" s="69">
        <v>0</v>
      </c>
      <c r="AS6" s="69">
        <v>0</v>
      </c>
      <c r="AT6" s="69">
        <v>0</v>
      </c>
      <c r="AU6" s="69">
        <v>0</v>
      </c>
      <c r="AV6" s="69">
        <v>0</v>
      </c>
      <c r="AW6" s="63">
        <v>0</v>
      </c>
      <c r="AX6" s="63">
        <v>0</v>
      </c>
      <c r="AY6" s="63">
        <v>0</v>
      </c>
      <c r="AZ6" s="69">
        <v>0</v>
      </c>
      <c r="BA6" s="69">
        <v>0</v>
      </c>
      <c r="BB6" s="69">
        <v>0</v>
      </c>
      <c r="BC6" s="69">
        <v>0</v>
      </c>
      <c r="BD6" s="69">
        <v>0</v>
      </c>
      <c r="BE6" s="69">
        <v>0</v>
      </c>
      <c r="BF6" s="69">
        <v>0</v>
      </c>
      <c r="BG6" s="69">
        <v>0</v>
      </c>
      <c r="BH6" s="69">
        <v>0</v>
      </c>
      <c r="BI6" s="63">
        <v>58876.28925619839</v>
      </c>
      <c r="BJ6" s="63">
        <v>73595.361570247915</v>
      </c>
      <c r="BK6" s="63">
        <v>52678.785123966925</v>
      </c>
      <c r="BL6" s="69">
        <v>0</v>
      </c>
      <c r="BM6" s="69">
        <v>0</v>
      </c>
      <c r="BN6" s="69">
        <v>0</v>
      </c>
      <c r="BO6" s="69">
        <v>0</v>
      </c>
      <c r="BP6" s="69">
        <v>0</v>
      </c>
      <c r="BQ6" s="69">
        <v>0</v>
      </c>
      <c r="BR6" s="69">
        <v>0</v>
      </c>
      <c r="BS6" s="69">
        <v>0</v>
      </c>
      <c r="BT6" s="69">
        <v>0</v>
      </c>
      <c r="BU6" s="63">
        <v>58876.28925619839</v>
      </c>
      <c r="BV6" s="63">
        <v>73595.361570247915</v>
      </c>
      <c r="BW6" s="63">
        <v>52678.785123966925</v>
      </c>
      <c r="BX6" s="70">
        <v>0</v>
      </c>
      <c r="BY6" s="70">
        <v>0</v>
      </c>
      <c r="BZ6" s="70">
        <v>0</v>
      </c>
      <c r="CA6" s="70">
        <v>0</v>
      </c>
      <c r="CB6" s="70">
        <v>0</v>
      </c>
      <c r="CC6" s="70">
        <v>0</v>
      </c>
      <c r="CD6" s="63">
        <v>42349.6115702479</v>
      </c>
      <c r="CE6" s="63">
        <v>47772.42768595041</v>
      </c>
      <c r="CF6" s="63">
        <v>59909.206611570247</v>
      </c>
      <c r="CG6" s="63">
        <v>59392.747933884297</v>
      </c>
      <c r="CH6" s="63">
        <v>72045.985537190078</v>
      </c>
      <c r="CI6" s="70">
        <v>24</v>
      </c>
      <c r="CJ6" s="70">
        <v>0</v>
      </c>
      <c r="CK6" s="70">
        <v>0</v>
      </c>
      <c r="CL6" s="70">
        <v>0</v>
      </c>
      <c r="CM6" s="70">
        <v>0</v>
      </c>
      <c r="CN6" s="70">
        <v>0</v>
      </c>
      <c r="CO6" s="70">
        <v>0</v>
      </c>
      <c r="CP6" s="70">
        <v>0</v>
      </c>
      <c r="CQ6" s="70">
        <v>0</v>
      </c>
      <c r="CR6" s="71">
        <v>0</v>
      </c>
    </row>
    <row r="7" spans="1:96" ht="15" thickBot="1" x14ac:dyDescent="0.4">
      <c r="A7" s="82"/>
      <c r="B7" s="84"/>
      <c r="C7" s="84"/>
      <c r="D7" s="84"/>
      <c r="E7" s="84"/>
      <c r="F7" s="84"/>
      <c r="G7" s="84"/>
      <c r="H7" s="84"/>
      <c r="I7" s="84"/>
      <c r="J7" s="84"/>
      <c r="K7" s="87"/>
      <c r="L7" s="82" t="s">
        <v>15</v>
      </c>
      <c r="M7" s="87"/>
      <c r="N7" s="88" t="s">
        <v>16</v>
      </c>
      <c r="O7" s="89"/>
      <c r="P7" s="82" t="s">
        <v>17</v>
      </c>
      <c r="Q7" s="84"/>
      <c r="R7" s="84"/>
      <c r="S7" s="87"/>
      <c r="T7" s="82" t="s">
        <v>18</v>
      </c>
      <c r="U7" s="84"/>
      <c r="V7" s="84"/>
      <c r="W7" s="87"/>
      <c r="X7" s="9" t="s">
        <v>19</v>
      </c>
      <c r="Y7" s="78" t="s">
        <v>20</v>
      </c>
      <c r="Z7" s="78"/>
      <c r="AA7" s="78"/>
      <c r="AB7" s="78" t="s">
        <v>21</v>
      </c>
      <c r="AC7" s="78"/>
      <c r="AD7" s="78"/>
      <c r="AE7" s="78" t="s">
        <v>22</v>
      </c>
      <c r="AF7" s="78"/>
      <c r="AG7" s="78"/>
      <c r="AH7" s="78" t="s">
        <v>23</v>
      </c>
      <c r="AI7" s="78"/>
      <c r="AJ7" s="78"/>
      <c r="AK7" s="78" t="s">
        <v>24</v>
      </c>
      <c r="AL7" s="78"/>
      <c r="AM7" s="78"/>
      <c r="AN7" s="78" t="s">
        <v>25</v>
      </c>
      <c r="AO7" s="78"/>
      <c r="AP7" s="78"/>
      <c r="AQ7" s="78" t="s">
        <v>26</v>
      </c>
      <c r="AR7" s="78"/>
      <c r="AS7" s="78"/>
      <c r="AT7" s="78" t="s">
        <v>27</v>
      </c>
      <c r="AU7" s="78"/>
      <c r="AV7" s="78"/>
      <c r="AW7" s="78" t="s">
        <v>28</v>
      </c>
      <c r="AX7" s="78"/>
      <c r="AY7" s="78"/>
      <c r="AZ7" s="78" t="s">
        <v>29</v>
      </c>
      <c r="BA7" s="78"/>
      <c r="BB7" s="78"/>
      <c r="BC7" s="78" t="s">
        <v>30</v>
      </c>
      <c r="BD7" s="78"/>
      <c r="BE7" s="78"/>
      <c r="BF7" s="78" t="s">
        <v>31</v>
      </c>
      <c r="BG7" s="78"/>
      <c r="BH7" s="79"/>
      <c r="BI7" s="78" t="s">
        <v>32</v>
      </c>
      <c r="BJ7" s="78"/>
      <c r="BK7" s="78"/>
      <c r="BL7" s="78" t="s">
        <v>33</v>
      </c>
      <c r="BM7" s="78"/>
      <c r="BN7" s="78"/>
      <c r="BO7" s="78" t="s">
        <v>34</v>
      </c>
      <c r="BP7" s="78"/>
      <c r="BQ7" s="78"/>
      <c r="BR7" s="78" t="s">
        <v>35</v>
      </c>
      <c r="BS7" s="78"/>
      <c r="BT7" s="79"/>
      <c r="BU7" s="78" t="s">
        <v>36</v>
      </c>
      <c r="BV7" s="78"/>
      <c r="BW7" s="78"/>
      <c r="BX7" s="78" t="s">
        <v>21</v>
      </c>
      <c r="BY7" s="78"/>
      <c r="BZ7" s="78"/>
      <c r="CA7" s="78" t="s">
        <v>22</v>
      </c>
      <c r="CB7" s="78"/>
      <c r="CC7" s="78"/>
      <c r="CD7" s="78" t="s">
        <v>23</v>
      </c>
      <c r="CE7" s="78"/>
      <c r="CF7" s="78"/>
      <c r="CG7" s="78" t="s">
        <v>24</v>
      </c>
      <c r="CH7" s="78"/>
      <c r="CI7" s="78"/>
      <c r="CJ7" s="78" t="s">
        <v>25</v>
      </c>
      <c r="CK7" s="78"/>
      <c r="CL7" s="78"/>
      <c r="CM7" s="78" t="s">
        <v>26</v>
      </c>
      <c r="CN7" s="78"/>
      <c r="CO7" s="78"/>
      <c r="CP7" s="78" t="s">
        <v>27</v>
      </c>
      <c r="CQ7" s="78"/>
      <c r="CR7" s="79"/>
    </row>
    <row r="8" spans="1:96" x14ac:dyDescent="0.35">
      <c r="A8" s="80"/>
      <c r="B8" s="85"/>
      <c r="C8" s="85"/>
      <c r="D8" s="85"/>
      <c r="E8" s="85"/>
      <c r="F8" s="85"/>
      <c r="G8" s="85"/>
      <c r="H8" s="85"/>
      <c r="I8" s="85"/>
      <c r="J8" s="85"/>
      <c r="K8" s="81"/>
      <c r="L8" s="80" t="s">
        <v>37</v>
      </c>
      <c r="M8" s="81" t="s">
        <v>38</v>
      </c>
      <c r="N8" s="82" t="s">
        <v>39</v>
      </c>
      <c r="O8" s="84" t="s">
        <v>40</v>
      </c>
      <c r="P8" s="80" t="s">
        <v>41</v>
      </c>
      <c r="Q8" s="85" t="s">
        <v>42</v>
      </c>
      <c r="R8" s="85" t="s">
        <v>43</v>
      </c>
      <c r="S8" s="81" t="s">
        <v>44</v>
      </c>
      <c r="T8" s="80" t="s">
        <v>41</v>
      </c>
      <c r="U8" s="85" t="s">
        <v>42</v>
      </c>
      <c r="V8" s="85" t="s">
        <v>43</v>
      </c>
      <c r="W8" s="81" t="s">
        <v>44</v>
      </c>
      <c r="X8" s="10" t="s">
        <v>42</v>
      </c>
      <c r="Y8" s="77">
        <v>0</v>
      </c>
      <c r="Z8" s="77"/>
      <c r="AA8" s="77"/>
      <c r="AB8" s="77">
        <v>0</v>
      </c>
      <c r="AC8" s="77"/>
      <c r="AD8" s="77"/>
      <c r="AE8" s="77">
        <v>0</v>
      </c>
      <c r="AF8" s="77"/>
      <c r="AG8" s="77"/>
      <c r="AH8" s="75">
        <v>426684</v>
      </c>
      <c r="AI8" s="75"/>
      <c r="AJ8" s="75"/>
      <c r="AK8" s="75">
        <v>150262</v>
      </c>
      <c r="AL8" s="75"/>
      <c r="AM8" s="75"/>
      <c r="AN8" s="75">
        <v>40000</v>
      </c>
      <c r="AO8" s="75"/>
      <c r="AP8" s="75"/>
      <c r="AQ8" s="75">
        <v>0</v>
      </c>
      <c r="AR8" s="75"/>
      <c r="AS8" s="75"/>
      <c r="AT8" s="75">
        <v>0</v>
      </c>
      <c r="AU8" s="75"/>
      <c r="AV8" s="75"/>
      <c r="AW8" s="75">
        <v>0</v>
      </c>
      <c r="AX8" s="75"/>
      <c r="AY8" s="75"/>
      <c r="AZ8" s="75">
        <v>0</v>
      </c>
      <c r="BA8" s="75"/>
      <c r="BB8" s="75"/>
      <c r="BC8" s="75">
        <v>0</v>
      </c>
      <c r="BD8" s="75"/>
      <c r="BE8" s="75"/>
      <c r="BF8" s="75">
        <v>0</v>
      </c>
      <c r="BG8" s="75"/>
      <c r="BH8" s="76"/>
      <c r="BI8" s="75">
        <v>0</v>
      </c>
      <c r="BJ8" s="75"/>
      <c r="BK8" s="75"/>
      <c r="BL8" s="75">
        <v>0</v>
      </c>
      <c r="BM8" s="75"/>
      <c r="BN8" s="75"/>
      <c r="BO8" s="75">
        <v>0</v>
      </c>
      <c r="BP8" s="75"/>
      <c r="BQ8" s="75"/>
      <c r="BR8" s="75">
        <v>0</v>
      </c>
      <c r="BS8" s="75"/>
      <c r="BT8" s="76"/>
      <c r="BU8" s="75">
        <v>0</v>
      </c>
      <c r="BV8" s="75"/>
      <c r="BW8" s="75"/>
      <c r="BX8" s="75">
        <v>0</v>
      </c>
      <c r="BY8" s="75"/>
      <c r="BZ8" s="75"/>
      <c r="CA8" s="75">
        <v>0</v>
      </c>
      <c r="CB8" s="75"/>
      <c r="CC8" s="75"/>
      <c r="CD8" s="75">
        <v>426684</v>
      </c>
      <c r="CE8" s="75"/>
      <c r="CF8" s="75"/>
      <c r="CG8" s="75">
        <v>0</v>
      </c>
      <c r="CH8" s="75"/>
      <c r="CI8" s="75"/>
      <c r="CJ8" s="75">
        <v>0</v>
      </c>
      <c r="CK8" s="75"/>
      <c r="CL8" s="75"/>
      <c r="CM8" s="75">
        <v>0</v>
      </c>
      <c r="CN8" s="75"/>
      <c r="CO8" s="75"/>
      <c r="CP8" s="75">
        <v>0</v>
      </c>
      <c r="CQ8" s="75"/>
      <c r="CR8" s="76"/>
    </row>
    <row r="9" spans="1:96" x14ac:dyDescent="0.35">
      <c r="A9" s="80"/>
      <c r="B9" s="85"/>
      <c r="C9" s="85"/>
      <c r="D9" s="85"/>
      <c r="E9" s="85"/>
      <c r="F9" s="85"/>
      <c r="G9" s="85"/>
      <c r="H9" s="85"/>
      <c r="I9" s="85"/>
      <c r="J9" s="85"/>
      <c r="K9" s="81"/>
      <c r="L9" s="80"/>
      <c r="M9" s="81"/>
      <c r="N9" s="80"/>
      <c r="O9" s="85"/>
      <c r="P9" s="80"/>
      <c r="Q9" s="85"/>
      <c r="R9" s="85"/>
      <c r="S9" s="81"/>
      <c r="T9" s="80"/>
      <c r="U9" s="85"/>
      <c r="V9" s="85"/>
      <c r="W9" s="81"/>
      <c r="X9" s="10" t="s">
        <v>45</v>
      </c>
      <c r="Y9" s="90">
        <v>0</v>
      </c>
      <c r="Z9" s="77"/>
      <c r="AA9" s="77"/>
      <c r="AB9" s="77">
        <v>0</v>
      </c>
      <c r="AC9" s="77"/>
      <c r="AD9" s="77"/>
      <c r="AE9" s="77">
        <v>0</v>
      </c>
      <c r="AF9" s="77"/>
      <c r="AG9" s="77"/>
      <c r="AH9" s="75">
        <v>225153.269754768</v>
      </c>
      <c r="AI9" s="75"/>
      <c r="AJ9" s="75"/>
      <c r="AK9" s="75">
        <v>0</v>
      </c>
      <c r="AL9" s="75"/>
      <c r="AM9" s="75"/>
      <c r="AN9" s="75">
        <v>93000</v>
      </c>
      <c r="AO9" s="75"/>
      <c r="AP9" s="75"/>
      <c r="AQ9" s="75">
        <v>496000</v>
      </c>
      <c r="AR9" s="75"/>
      <c r="AS9" s="75"/>
      <c r="AT9" s="75">
        <v>31000</v>
      </c>
      <c r="AU9" s="75"/>
      <c r="AV9" s="75"/>
      <c r="AW9" s="75">
        <v>0</v>
      </c>
      <c r="AX9" s="75"/>
      <c r="AY9" s="75"/>
      <c r="AZ9" s="75">
        <v>0</v>
      </c>
      <c r="BA9" s="75"/>
      <c r="BB9" s="75"/>
      <c r="BC9" s="75">
        <v>0</v>
      </c>
      <c r="BD9" s="75"/>
      <c r="BE9" s="75"/>
      <c r="BF9" s="75">
        <v>0</v>
      </c>
      <c r="BG9" s="75"/>
      <c r="BH9" s="76"/>
      <c r="BI9" s="75">
        <v>0</v>
      </c>
      <c r="BJ9" s="75"/>
      <c r="BK9" s="75"/>
      <c r="BL9" s="75">
        <v>0</v>
      </c>
      <c r="BM9" s="75"/>
      <c r="BN9" s="75"/>
      <c r="BO9" s="75">
        <v>0</v>
      </c>
      <c r="BP9" s="75"/>
      <c r="BQ9" s="75"/>
      <c r="BR9" s="75">
        <v>0</v>
      </c>
      <c r="BS9" s="75"/>
      <c r="BT9" s="76"/>
      <c r="BU9" s="75">
        <v>0</v>
      </c>
      <c r="BV9" s="75"/>
      <c r="BW9" s="75"/>
      <c r="BX9" s="75">
        <v>0</v>
      </c>
      <c r="BY9" s="75"/>
      <c r="BZ9" s="75"/>
      <c r="CA9" s="75">
        <v>0</v>
      </c>
      <c r="CB9" s="75"/>
      <c r="CC9" s="75"/>
      <c r="CD9" s="75">
        <v>225153.269754768</v>
      </c>
      <c r="CE9" s="75"/>
      <c r="CF9" s="75"/>
      <c r="CG9" s="75">
        <v>0</v>
      </c>
      <c r="CH9" s="75"/>
      <c r="CI9" s="75"/>
      <c r="CJ9" s="75">
        <v>0</v>
      </c>
      <c r="CK9" s="75"/>
      <c r="CL9" s="75"/>
      <c r="CM9" s="75">
        <v>0</v>
      </c>
      <c r="CN9" s="75"/>
      <c r="CO9" s="75"/>
      <c r="CP9" s="75">
        <v>0</v>
      </c>
      <c r="CQ9" s="75"/>
      <c r="CR9" s="76"/>
    </row>
    <row r="10" spans="1:96" ht="15" thickBot="1" x14ac:dyDescent="0.4">
      <c r="A10" s="80"/>
      <c r="B10" s="85"/>
      <c r="C10" s="85"/>
      <c r="D10" s="85"/>
      <c r="E10" s="85"/>
      <c r="F10" s="85"/>
      <c r="G10" s="85"/>
      <c r="H10" s="85"/>
      <c r="I10" s="85"/>
      <c r="J10" s="85"/>
      <c r="K10" s="81"/>
      <c r="L10" s="80"/>
      <c r="M10" s="81"/>
      <c r="N10" s="83"/>
      <c r="O10" s="86"/>
      <c r="P10" s="80"/>
      <c r="Q10" s="85"/>
      <c r="R10" s="85"/>
      <c r="S10" s="81"/>
      <c r="T10" s="80"/>
      <c r="U10" s="85"/>
      <c r="V10" s="85"/>
      <c r="W10" s="81"/>
      <c r="X10" s="10" t="s">
        <v>46</v>
      </c>
      <c r="Y10" t="s">
        <v>47</v>
      </c>
      <c r="Z10" t="s">
        <v>48</v>
      </c>
      <c r="AA10" t="s">
        <v>49</v>
      </c>
      <c r="AB10" t="s">
        <v>50</v>
      </c>
      <c r="AC10" t="s">
        <v>51</v>
      </c>
      <c r="AD10" t="s">
        <v>52</v>
      </c>
      <c r="AE10" t="s">
        <v>53</v>
      </c>
      <c r="AF10" t="s">
        <v>54</v>
      </c>
      <c r="AG10" t="s">
        <v>55</v>
      </c>
      <c r="AH10" t="s">
        <v>56</v>
      </c>
      <c r="AI10" t="s">
        <v>57</v>
      </c>
      <c r="AJ10" t="s">
        <v>58</v>
      </c>
      <c r="AK10" t="s">
        <v>47</v>
      </c>
      <c r="AL10" t="s">
        <v>48</v>
      </c>
      <c r="AM10" t="s">
        <v>49</v>
      </c>
      <c r="AN10" t="s">
        <v>50</v>
      </c>
      <c r="AO10" t="s">
        <v>51</v>
      </c>
      <c r="AP10" t="s">
        <v>52</v>
      </c>
      <c r="AQ10" t="s">
        <v>53</v>
      </c>
      <c r="AR10" t="s">
        <v>54</v>
      </c>
      <c r="AS10" t="s">
        <v>55</v>
      </c>
      <c r="AT10" t="s">
        <v>56</v>
      </c>
      <c r="AU10" t="s">
        <v>57</v>
      </c>
      <c r="AV10" t="s">
        <v>58</v>
      </c>
      <c r="AW10" t="s">
        <v>47</v>
      </c>
      <c r="AX10" t="s">
        <v>48</v>
      </c>
      <c r="AY10" t="s">
        <v>49</v>
      </c>
      <c r="AZ10" t="s">
        <v>50</v>
      </c>
      <c r="BA10" t="s">
        <v>51</v>
      </c>
      <c r="BB10" t="s">
        <v>52</v>
      </c>
      <c r="BC10" t="s">
        <v>53</v>
      </c>
      <c r="BD10" t="s">
        <v>54</v>
      </c>
      <c r="BE10" t="s">
        <v>55</v>
      </c>
      <c r="BF10" t="s">
        <v>56</v>
      </c>
      <c r="BG10" t="s">
        <v>57</v>
      </c>
      <c r="BH10" t="s">
        <v>58</v>
      </c>
      <c r="BI10" t="s">
        <v>47</v>
      </c>
      <c r="BJ10" t="s">
        <v>48</v>
      </c>
      <c r="BK10" t="s">
        <v>49</v>
      </c>
      <c r="BL10" t="s">
        <v>50</v>
      </c>
      <c r="BM10" t="s">
        <v>51</v>
      </c>
      <c r="BN10" t="s">
        <v>52</v>
      </c>
      <c r="BO10" t="s">
        <v>53</v>
      </c>
      <c r="BP10" t="s">
        <v>54</v>
      </c>
      <c r="BQ10" t="s">
        <v>55</v>
      </c>
      <c r="BR10" t="s">
        <v>56</v>
      </c>
      <c r="BS10" t="s">
        <v>57</v>
      </c>
      <c r="BT10" t="s">
        <v>58</v>
      </c>
      <c r="BU10" t="s">
        <v>47</v>
      </c>
      <c r="BV10" t="s">
        <v>48</v>
      </c>
      <c r="BW10" t="s">
        <v>49</v>
      </c>
      <c r="BX10" t="s">
        <v>50</v>
      </c>
      <c r="BY10" t="s">
        <v>51</v>
      </c>
      <c r="BZ10" t="s">
        <v>52</v>
      </c>
      <c r="CA10" t="s">
        <v>53</v>
      </c>
      <c r="CB10" t="s">
        <v>54</v>
      </c>
      <c r="CC10" t="s">
        <v>55</v>
      </c>
      <c r="CD10" t="s">
        <v>56</v>
      </c>
      <c r="CE10" t="s">
        <v>57</v>
      </c>
      <c r="CF10" t="s">
        <v>58</v>
      </c>
      <c r="CG10" t="s">
        <v>47</v>
      </c>
      <c r="CH10" t="s">
        <v>48</v>
      </c>
      <c r="CI10" t="s">
        <v>49</v>
      </c>
      <c r="CJ10" t="s">
        <v>50</v>
      </c>
      <c r="CK10" t="s">
        <v>51</v>
      </c>
      <c r="CL10" t="s">
        <v>52</v>
      </c>
      <c r="CM10" t="s">
        <v>53</v>
      </c>
      <c r="CN10" t="s">
        <v>54</v>
      </c>
      <c r="CO10" t="s">
        <v>55</v>
      </c>
      <c r="CP10" t="s">
        <v>56</v>
      </c>
      <c r="CQ10" t="s">
        <v>57</v>
      </c>
      <c r="CR10" s="2" t="s">
        <v>58</v>
      </c>
    </row>
    <row r="11" spans="1:96" ht="15" thickBot="1" x14ac:dyDescent="0.4">
      <c r="A11" s="15" t="s">
        <v>62</v>
      </c>
      <c r="B11" s="13" t="s">
        <v>60</v>
      </c>
      <c r="C11" s="13">
        <v>400398318</v>
      </c>
      <c r="D11" s="13">
        <v>301020783</v>
      </c>
      <c r="E11" s="13">
        <v>15426325</v>
      </c>
      <c r="F11" s="13" t="s">
        <v>63</v>
      </c>
      <c r="G11" s="13" t="e" vm="2">
        <v>#VALUE!</v>
      </c>
      <c r="H11" s="1">
        <v>620000</v>
      </c>
      <c r="I11" s="1">
        <f>H11*3.674</f>
        <v>2277880</v>
      </c>
      <c r="J11" s="1">
        <v>4888</v>
      </c>
      <c r="K11" s="14">
        <v>5592</v>
      </c>
      <c r="L11" s="23">
        <v>90</v>
      </c>
      <c r="M11" s="23">
        <v>90</v>
      </c>
      <c r="N11" s="8">
        <v>117453</v>
      </c>
      <c r="O11" s="1">
        <v>0</v>
      </c>
      <c r="P11" s="8">
        <v>3914</v>
      </c>
      <c r="Q11" s="1">
        <v>620000</v>
      </c>
      <c r="R11" s="1">
        <v>309299</v>
      </c>
      <c r="S11" s="12">
        <f>R11/Q11</f>
        <v>0.4988693548387097</v>
      </c>
      <c r="T11" s="8">
        <v>5592</v>
      </c>
      <c r="U11" s="1">
        <v>620000</v>
      </c>
      <c r="V11" s="1">
        <v>269619</v>
      </c>
      <c r="W11" s="12">
        <f>V11/U11</f>
        <v>0.4348693548387097</v>
      </c>
      <c r="X11" s="11" t="s">
        <v>42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16">
        <v>18290</v>
      </c>
      <c r="AI11" s="16">
        <v>121210</v>
      </c>
      <c r="AJ11" s="16">
        <v>287184</v>
      </c>
      <c r="AK11" s="16">
        <v>50000</v>
      </c>
      <c r="AL11" s="16">
        <v>50262</v>
      </c>
      <c r="AM11" s="16">
        <v>50000</v>
      </c>
      <c r="AN11" s="16">
        <v>40000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16">
        <v>0</v>
      </c>
      <c r="AX11" s="16">
        <v>0</v>
      </c>
      <c r="AY11" s="16">
        <v>0</v>
      </c>
      <c r="AZ11" s="16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16">
        <v>0</v>
      </c>
      <c r="BJ11" s="16">
        <v>0</v>
      </c>
      <c r="BK11" s="16">
        <v>0</v>
      </c>
      <c r="BL11" s="16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16">
        <v>0</v>
      </c>
      <c r="BV11" s="16">
        <v>0</v>
      </c>
      <c r="BW11" s="16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6">
        <v>18290</v>
      </c>
      <c r="CE11" s="16">
        <v>121210</v>
      </c>
      <c r="CF11" s="16">
        <v>287184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8"/>
    </row>
    <row r="12" spans="1:96" ht="15" thickBot="1" x14ac:dyDescent="0.4">
      <c r="A12" s="82"/>
      <c r="B12" s="84"/>
      <c r="C12" s="84"/>
      <c r="D12" s="84"/>
      <c r="E12" s="84"/>
      <c r="F12" s="84"/>
      <c r="G12" s="84"/>
      <c r="H12" s="84"/>
      <c r="I12" s="84"/>
      <c r="J12" s="84"/>
      <c r="K12" s="87"/>
      <c r="L12" s="82" t="s">
        <v>15</v>
      </c>
      <c r="M12" s="87"/>
      <c r="N12" s="88" t="s">
        <v>16</v>
      </c>
      <c r="O12" s="89"/>
      <c r="P12" s="82" t="s">
        <v>17</v>
      </c>
      <c r="Q12" s="84"/>
      <c r="R12" s="84"/>
      <c r="S12" s="87"/>
      <c r="T12" s="82" t="s">
        <v>18</v>
      </c>
      <c r="U12" s="84"/>
      <c r="V12" s="84"/>
      <c r="W12" s="87"/>
      <c r="X12" s="9" t="s">
        <v>19</v>
      </c>
      <c r="Y12" s="78" t="s">
        <v>20</v>
      </c>
      <c r="Z12" s="78"/>
      <c r="AA12" s="78"/>
      <c r="AB12" s="78" t="s">
        <v>21</v>
      </c>
      <c r="AC12" s="78"/>
      <c r="AD12" s="78"/>
      <c r="AE12" s="78" t="s">
        <v>22</v>
      </c>
      <c r="AF12" s="78"/>
      <c r="AG12" s="78"/>
      <c r="AH12" s="78" t="s">
        <v>23</v>
      </c>
      <c r="AI12" s="78"/>
      <c r="AJ12" s="78"/>
      <c r="AK12" s="78" t="s">
        <v>24</v>
      </c>
      <c r="AL12" s="78"/>
      <c r="AM12" s="78"/>
      <c r="AN12" s="78" t="s">
        <v>25</v>
      </c>
      <c r="AO12" s="78"/>
      <c r="AP12" s="78"/>
      <c r="AQ12" s="78" t="s">
        <v>26</v>
      </c>
      <c r="AR12" s="78"/>
      <c r="AS12" s="78"/>
      <c r="AT12" s="78" t="s">
        <v>27</v>
      </c>
      <c r="AU12" s="78"/>
      <c r="AV12" s="78"/>
      <c r="AW12" s="78" t="s">
        <v>28</v>
      </c>
      <c r="AX12" s="78"/>
      <c r="AY12" s="78"/>
      <c r="AZ12" s="78" t="s">
        <v>29</v>
      </c>
      <c r="BA12" s="78"/>
      <c r="BB12" s="78"/>
      <c r="BC12" s="78" t="s">
        <v>30</v>
      </c>
      <c r="BD12" s="78"/>
      <c r="BE12" s="78"/>
      <c r="BF12" s="78" t="s">
        <v>31</v>
      </c>
      <c r="BG12" s="78"/>
      <c r="BH12" s="79"/>
      <c r="BI12" s="78" t="s">
        <v>32</v>
      </c>
      <c r="BJ12" s="78"/>
      <c r="BK12" s="78"/>
      <c r="BL12" s="78" t="s">
        <v>33</v>
      </c>
      <c r="BM12" s="78"/>
      <c r="BN12" s="78"/>
      <c r="BO12" s="78" t="s">
        <v>34</v>
      </c>
      <c r="BP12" s="78"/>
      <c r="BQ12" s="78"/>
      <c r="BR12" s="78" t="s">
        <v>35</v>
      </c>
      <c r="BS12" s="78"/>
      <c r="BT12" s="79"/>
      <c r="BU12" s="78" t="s">
        <v>36</v>
      </c>
      <c r="BV12" s="78"/>
      <c r="BW12" s="78"/>
      <c r="BX12" s="78" t="s">
        <v>21</v>
      </c>
      <c r="BY12" s="78"/>
      <c r="BZ12" s="78"/>
      <c r="CA12" s="78" t="s">
        <v>22</v>
      </c>
      <c r="CB12" s="78"/>
      <c r="CC12" s="78"/>
      <c r="CD12" s="78" t="s">
        <v>23</v>
      </c>
      <c r="CE12" s="78"/>
      <c r="CF12" s="78"/>
      <c r="CG12" s="78" t="s">
        <v>24</v>
      </c>
      <c r="CH12" s="78"/>
      <c r="CI12" s="78"/>
      <c r="CJ12" s="78" t="s">
        <v>25</v>
      </c>
      <c r="CK12" s="78"/>
      <c r="CL12" s="78"/>
      <c r="CM12" s="78" t="s">
        <v>26</v>
      </c>
      <c r="CN12" s="78"/>
      <c r="CO12" s="78"/>
      <c r="CP12" s="78" t="s">
        <v>27</v>
      </c>
      <c r="CQ12" s="78"/>
      <c r="CR12" s="79"/>
    </row>
    <row r="13" spans="1:96" x14ac:dyDescent="0.35">
      <c r="A13" s="80"/>
      <c r="B13" s="85"/>
      <c r="C13" s="85"/>
      <c r="D13" s="85"/>
      <c r="E13" s="85"/>
      <c r="F13" s="85"/>
      <c r="G13" s="85"/>
      <c r="H13" s="85"/>
      <c r="I13" s="85"/>
      <c r="J13" s="85"/>
      <c r="K13" s="81"/>
      <c r="L13" s="80" t="s">
        <v>37</v>
      </c>
      <c r="M13" s="81" t="s">
        <v>38</v>
      </c>
      <c r="N13" s="82" t="s">
        <v>16</v>
      </c>
      <c r="O13" s="84" t="s">
        <v>40</v>
      </c>
      <c r="P13" s="80" t="s">
        <v>41</v>
      </c>
      <c r="Q13" s="85" t="s">
        <v>42</v>
      </c>
      <c r="R13" s="85" t="s">
        <v>43</v>
      </c>
      <c r="S13" s="81" t="s">
        <v>44</v>
      </c>
      <c r="T13" s="80" t="s">
        <v>41</v>
      </c>
      <c r="U13" s="85" t="s">
        <v>42</v>
      </c>
      <c r="V13" s="85" t="s">
        <v>43</v>
      </c>
      <c r="W13" s="81" t="s">
        <v>44</v>
      </c>
      <c r="X13" s="10" t="s">
        <v>42</v>
      </c>
      <c r="Y13" s="77">
        <v>0</v>
      </c>
      <c r="Z13" s="77"/>
      <c r="AA13" s="77"/>
      <c r="AB13" s="77">
        <v>0</v>
      </c>
      <c r="AC13" s="77"/>
      <c r="AD13" s="77"/>
      <c r="AE13" s="77">
        <v>0</v>
      </c>
      <c r="AF13" s="77"/>
      <c r="AG13" s="77"/>
      <c r="AH13" s="75">
        <v>199850</v>
      </c>
      <c r="AI13" s="75"/>
      <c r="AJ13" s="75"/>
      <c r="AK13" s="75">
        <f>SUM(AK16:AM16)</f>
        <v>72991</v>
      </c>
      <c r="AL13" s="75"/>
      <c r="AM13" s="75"/>
      <c r="AN13" s="75"/>
      <c r="AO13" s="75"/>
      <c r="AP13" s="75"/>
      <c r="AQ13" s="75">
        <v>0</v>
      </c>
      <c r="AR13" s="75"/>
      <c r="AS13" s="75"/>
      <c r="AT13" s="75">
        <v>141158.22130299895</v>
      </c>
      <c r="AU13" s="75"/>
      <c r="AV13" s="75"/>
      <c r="AW13" s="75">
        <v>240692</v>
      </c>
      <c r="AX13" s="75"/>
      <c r="AY13" s="75"/>
      <c r="AZ13" s="75">
        <v>239184</v>
      </c>
      <c r="BA13" s="75"/>
      <c r="BB13" s="75"/>
      <c r="BC13" s="75">
        <v>356816</v>
      </c>
      <c r="BD13" s="75"/>
      <c r="BE13" s="75"/>
      <c r="BF13" s="75">
        <v>398063</v>
      </c>
      <c r="BG13" s="75"/>
      <c r="BH13" s="76"/>
      <c r="BI13" s="75">
        <v>474448</v>
      </c>
      <c r="BJ13" s="75"/>
      <c r="BK13" s="75"/>
      <c r="BL13" s="75">
        <v>468868</v>
      </c>
      <c r="BM13" s="75"/>
      <c r="BN13" s="75"/>
      <c r="BO13" s="75">
        <v>463891</v>
      </c>
      <c r="BP13" s="75"/>
      <c r="BQ13" s="75"/>
      <c r="BR13" s="75">
        <v>388185</v>
      </c>
      <c r="BS13" s="75"/>
      <c r="BT13" s="76"/>
      <c r="BU13" s="75">
        <v>24355</v>
      </c>
      <c r="BV13" s="75"/>
      <c r="BW13" s="75"/>
      <c r="BX13" s="75">
        <v>0</v>
      </c>
      <c r="BY13" s="75"/>
      <c r="BZ13" s="75"/>
      <c r="CA13" s="75">
        <v>0</v>
      </c>
      <c r="CB13" s="75"/>
      <c r="CC13" s="75"/>
      <c r="CD13" s="75">
        <v>199850</v>
      </c>
      <c r="CE13" s="75"/>
      <c r="CF13" s="75"/>
      <c r="CG13" s="75">
        <f>SUM(CG16:CI16)</f>
        <v>47250</v>
      </c>
      <c r="CH13" s="75"/>
      <c r="CI13" s="75"/>
      <c r="CJ13" s="75">
        <v>0</v>
      </c>
      <c r="CK13" s="75"/>
      <c r="CL13" s="75"/>
      <c r="CM13" s="75">
        <v>0</v>
      </c>
      <c r="CN13" s="75"/>
      <c r="CO13" s="75"/>
      <c r="CP13" s="75">
        <v>0</v>
      </c>
      <c r="CQ13" s="75"/>
      <c r="CR13" s="76"/>
    </row>
    <row r="14" spans="1:96" x14ac:dyDescent="0.35">
      <c r="A14" s="80"/>
      <c r="B14" s="85"/>
      <c r="C14" s="85"/>
      <c r="D14" s="85"/>
      <c r="E14" s="85"/>
      <c r="F14" s="85"/>
      <c r="G14" s="85"/>
      <c r="H14" s="85"/>
      <c r="I14" s="85"/>
      <c r="J14" s="85"/>
      <c r="K14" s="81"/>
      <c r="L14" s="80"/>
      <c r="M14" s="81"/>
      <c r="N14" s="80"/>
      <c r="O14" s="85"/>
      <c r="P14" s="80"/>
      <c r="Q14" s="85"/>
      <c r="R14" s="85"/>
      <c r="S14" s="81"/>
      <c r="T14" s="80"/>
      <c r="U14" s="85"/>
      <c r="V14" s="85"/>
      <c r="W14" s="81"/>
      <c r="X14" s="10" t="s">
        <v>45</v>
      </c>
      <c r="Y14" s="90">
        <v>0</v>
      </c>
      <c r="Z14" s="77"/>
      <c r="AA14" s="77"/>
      <c r="AB14" s="77">
        <v>0</v>
      </c>
      <c r="AC14" s="77"/>
      <c r="AD14" s="77"/>
      <c r="AE14" s="77">
        <v>0</v>
      </c>
      <c r="AF14" s="77"/>
      <c r="AG14" s="77"/>
      <c r="AH14" s="75"/>
      <c r="AI14" s="75"/>
      <c r="AJ14" s="75"/>
      <c r="AK14" s="75">
        <v>150000</v>
      </c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>
        <v>0</v>
      </c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6"/>
      <c r="BI14" s="75">
        <v>0</v>
      </c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6"/>
      <c r="BU14" s="75">
        <v>0</v>
      </c>
      <c r="BV14" s="75"/>
      <c r="BW14" s="75"/>
      <c r="BX14" s="75">
        <v>0</v>
      </c>
      <c r="BY14" s="75"/>
      <c r="BZ14" s="75"/>
      <c r="CA14" s="75">
        <v>0</v>
      </c>
      <c r="CB14" s="75"/>
      <c r="CC14" s="75"/>
      <c r="CD14" s="75"/>
      <c r="CE14" s="75"/>
      <c r="CF14" s="75"/>
      <c r="CG14" s="75">
        <v>150000</v>
      </c>
      <c r="CH14" s="75"/>
      <c r="CI14" s="75"/>
      <c r="CJ14" s="75">
        <v>0</v>
      </c>
      <c r="CK14" s="75"/>
      <c r="CL14" s="75"/>
      <c r="CM14" s="75">
        <v>0</v>
      </c>
      <c r="CN14" s="75"/>
      <c r="CO14" s="75"/>
      <c r="CP14" s="75">
        <v>0</v>
      </c>
      <c r="CQ14" s="75"/>
      <c r="CR14" s="76"/>
    </row>
    <row r="15" spans="1:96" ht="15" thickBot="1" x14ac:dyDescent="0.4">
      <c r="A15" s="80"/>
      <c r="B15" s="85"/>
      <c r="C15" s="85"/>
      <c r="D15" s="85"/>
      <c r="E15" s="85"/>
      <c r="F15" s="85"/>
      <c r="G15" s="85"/>
      <c r="H15" s="85"/>
      <c r="I15" s="85"/>
      <c r="J15" s="85"/>
      <c r="K15" s="81"/>
      <c r="L15" s="80"/>
      <c r="M15" s="81"/>
      <c r="N15" s="83"/>
      <c r="O15" s="86"/>
      <c r="P15" s="80"/>
      <c r="Q15" s="85"/>
      <c r="R15" s="85"/>
      <c r="S15" s="81"/>
      <c r="T15" s="80"/>
      <c r="U15" s="85"/>
      <c r="V15" s="85"/>
      <c r="W15" s="81"/>
      <c r="X15" s="10" t="s">
        <v>46</v>
      </c>
      <c r="Y15" t="s">
        <v>47</v>
      </c>
      <c r="Z15" t="s">
        <v>48</v>
      </c>
      <c r="AA15" t="s">
        <v>49</v>
      </c>
      <c r="AB15" t="s">
        <v>50</v>
      </c>
      <c r="AC15" t="s">
        <v>51</v>
      </c>
      <c r="AD15" t="s">
        <v>52</v>
      </c>
      <c r="AE15" t="s">
        <v>53</v>
      </c>
      <c r="AF15" t="s">
        <v>54</v>
      </c>
      <c r="AG15" t="s">
        <v>55</v>
      </c>
      <c r="AH15" t="s">
        <v>56</v>
      </c>
      <c r="AI15" t="s">
        <v>57</v>
      </c>
      <c r="AJ15" t="s">
        <v>58</v>
      </c>
      <c r="AK15" t="s">
        <v>47</v>
      </c>
      <c r="AL15" t="s">
        <v>48</v>
      </c>
      <c r="AM15" t="s">
        <v>49</v>
      </c>
      <c r="AN15" t="s">
        <v>50</v>
      </c>
      <c r="AO15" t="s">
        <v>51</v>
      </c>
      <c r="AP15" t="s">
        <v>52</v>
      </c>
      <c r="AQ15" t="s">
        <v>53</v>
      </c>
      <c r="AR15" t="s">
        <v>54</v>
      </c>
      <c r="AS15" t="s">
        <v>55</v>
      </c>
      <c r="AT15" t="s">
        <v>56</v>
      </c>
      <c r="AU15" t="s">
        <v>57</v>
      </c>
      <c r="AV15" t="s">
        <v>58</v>
      </c>
      <c r="AW15" t="s">
        <v>47</v>
      </c>
      <c r="AX15" t="s">
        <v>48</v>
      </c>
      <c r="AY15" t="s">
        <v>49</v>
      </c>
      <c r="AZ15" t="s">
        <v>50</v>
      </c>
      <c r="BA15" t="s">
        <v>51</v>
      </c>
      <c r="BB15" t="s">
        <v>52</v>
      </c>
      <c r="BC15" t="s">
        <v>53</v>
      </c>
      <c r="BD15" t="s">
        <v>54</v>
      </c>
      <c r="BE15" t="s">
        <v>55</v>
      </c>
      <c r="BF15" t="s">
        <v>56</v>
      </c>
      <c r="BG15" t="s">
        <v>57</v>
      </c>
      <c r="BH15" t="s">
        <v>58</v>
      </c>
      <c r="BI15" t="s">
        <v>47</v>
      </c>
      <c r="BJ15" t="s">
        <v>48</v>
      </c>
      <c r="BK15" t="s">
        <v>49</v>
      </c>
      <c r="BL15" t="s">
        <v>50</v>
      </c>
      <c r="BM15" t="s">
        <v>51</v>
      </c>
      <c r="BN15" t="s">
        <v>52</v>
      </c>
      <c r="BO15" t="s">
        <v>53</v>
      </c>
      <c r="BP15" t="s">
        <v>54</v>
      </c>
      <c r="BQ15" t="s">
        <v>55</v>
      </c>
      <c r="BR15" t="s">
        <v>56</v>
      </c>
      <c r="BS15" t="s">
        <v>57</v>
      </c>
      <c r="BT15" t="s">
        <v>58</v>
      </c>
      <c r="BU15" t="s">
        <v>47</v>
      </c>
      <c r="BV15" t="s">
        <v>48</v>
      </c>
      <c r="BW15" t="s">
        <v>49</v>
      </c>
      <c r="BX15" t="s">
        <v>50</v>
      </c>
      <c r="BY15" t="s">
        <v>51</v>
      </c>
      <c r="BZ15" t="s">
        <v>52</v>
      </c>
      <c r="CA15" t="s">
        <v>53</v>
      </c>
      <c r="CB15" t="s">
        <v>54</v>
      </c>
      <c r="CC15" t="s">
        <v>55</v>
      </c>
      <c r="CD15" t="s">
        <v>56</v>
      </c>
      <c r="CE15" t="s">
        <v>57</v>
      </c>
      <c r="CF15" t="s">
        <v>58</v>
      </c>
      <c r="CG15" t="s">
        <v>47</v>
      </c>
      <c r="CH15" t="s">
        <v>48</v>
      </c>
      <c r="CI15" t="s">
        <v>49</v>
      </c>
      <c r="CJ15" t="s">
        <v>50</v>
      </c>
      <c r="CK15" t="s">
        <v>51</v>
      </c>
      <c r="CL15" t="s">
        <v>52</v>
      </c>
      <c r="CM15" t="s">
        <v>53</v>
      </c>
      <c r="CN15" t="s">
        <v>54</v>
      </c>
      <c r="CO15" t="s">
        <v>55</v>
      </c>
      <c r="CP15" t="s">
        <v>56</v>
      </c>
      <c r="CQ15" t="s">
        <v>57</v>
      </c>
      <c r="CR15" s="2" t="s">
        <v>58</v>
      </c>
    </row>
    <row r="16" spans="1:96" ht="79.5" customHeight="1" thickBot="1" x14ac:dyDescent="0.4">
      <c r="A16" s="15" t="s">
        <v>64</v>
      </c>
      <c r="B16" s="13" t="s">
        <v>65</v>
      </c>
      <c r="C16" s="13">
        <v>400406275</v>
      </c>
      <c r="D16" s="13">
        <v>301025567</v>
      </c>
      <c r="E16" s="24">
        <v>15426325</v>
      </c>
      <c r="F16" s="13" t="s">
        <v>66</v>
      </c>
      <c r="G16" t="e" vm="3">
        <v>#VALUE!</v>
      </c>
      <c r="H16" s="1">
        <v>3500000</v>
      </c>
      <c r="I16" s="1">
        <f>H16*3.674</f>
        <v>12859000</v>
      </c>
      <c r="J16" s="1" t="s">
        <v>67</v>
      </c>
      <c r="K16" s="14">
        <v>46414</v>
      </c>
      <c r="L16" s="25">
        <v>90</v>
      </c>
      <c r="M16" s="25">
        <v>90</v>
      </c>
      <c r="N16" s="8">
        <v>95000</v>
      </c>
      <c r="O16" s="1">
        <v>0</v>
      </c>
      <c r="P16" s="8">
        <v>46416</v>
      </c>
      <c r="Q16" s="1">
        <v>3500000</v>
      </c>
      <c r="R16" s="1">
        <v>2018591</v>
      </c>
      <c r="S16" s="12">
        <v>0.42299999999999999</v>
      </c>
      <c r="T16" s="8">
        <v>46416</v>
      </c>
      <c r="U16" s="1">
        <v>3500000</v>
      </c>
      <c r="V16" s="1">
        <v>2188019</v>
      </c>
      <c r="W16" s="12">
        <v>0.375</v>
      </c>
      <c r="X16" s="11" t="s">
        <v>42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16">
        <f>AH13/3</f>
        <v>66616.666666666672</v>
      </c>
      <c r="AI16" s="16">
        <f>AH13/3</f>
        <v>66616.666666666672</v>
      </c>
      <c r="AJ16" s="16">
        <f>AH13/3</f>
        <v>66616.666666666672</v>
      </c>
      <c r="AK16" s="16">
        <v>12818</v>
      </c>
      <c r="AL16" s="16">
        <v>45092</v>
      </c>
      <c r="AM16" s="16">
        <v>15081</v>
      </c>
      <c r="AN16" s="16"/>
      <c r="AO16" s="16"/>
      <c r="AP16" s="16"/>
      <c r="AQ16" s="5">
        <f>AQ13/3</f>
        <v>0</v>
      </c>
      <c r="AR16" s="5">
        <f>AQ13/3</f>
        <v>0</v>
      </c>
      <c r="AS16" s="5">
        <f>AQ13/3</f>
        <v>0</v>
      </c>
      <c r="AT16" s="5">
        <f>AT13/3</f>
        <v>47052.740434332984</v>
      </c>
      <c r="AU16" s="5">
        <f>AT13/3</f>
        <v>47052.740434332984</v>
      </c>
      <c r="AV16" s="5">
        <f>AT13/3</f>
        <v>47052.740434332984</v>
      </c>
      <c r="AW16" s="5">
        <f t="shared" ref="AW16" si="0">AW13/3</f>
        <v>80230.666666666672</v>
      </c>
      <c r="AX16" s="5">
        <f t="shared" ref="AX16" si="1">AW13/3</f>
        <v>80230.666666666672</v>
      </c>
      <c r="AY16" s="5">
        <f t="shared" ref="AY16" si="2">AW13/3</f>
        <v>80230.666666666672</v>
      </c>
      <c r="AZ16" s="5">
        <f t="shared" ref="AZ16" si="3">AZ13/3</f>
        <v>79728</v>
      </c>
      <c r="BA16" s="5">
        <f t="shared" ref="BA16" si="4">AZ13/3</f>
        <v>79728</v>
      </c>
      <c r="BB16" s="5">
        <f t="shared" ref="BB16" si="5">AZ13/3</f>
        <v>79728</v>
      </c>
      <c r="BC16" s="5">
        <f t="shared" ref="BC16" si="6">BC13/3</f>
        <v>118938.66666666667</v>
      </c>
      <c r="BD16" s="5">
        <f t="shared" ref="BD16" si="7">BC13/3</f>
        <v>118938.66666666667</v>
      </c>
      <c r="BE16" s="5">
        <f t="shared" ref="BE16" si="8">BC13/3</f>
        <v>118938.66666666667</v>
      </c>
      <c r="BF16" s="5">
        <f t="shared" ref="BF16" si="9">BF13/3</f>
        <v>132687.66666666666</v>
      </c>
      <c r="BG16" s="5">
        <f t="shared" ref="BG16" si="10">BF13/3</f>
        <v>132687.66666666666</v>
      </c>
      <c r="BH16" s="5">
        <f t="shared" ref="BH16" si="11">BF13/3</f>
        <v>132687.66666666666</v>
      </c>
      <c r="BI16" s="5">
        <f t="shared" ref="BI16" si="12">BI13/3</f>
        <v>158149.33333333334</v>
      </c>
      <c r="BJ16" s="5">
        <f t="shared" ref="BJ16" si="13">BI13/3</f>
        <v>158149.33333333334</v>
      </c>
      <c r="BK16" s="5">
        <f t="shared" ref="BK16" si="14">BI13/3</f>
        <v>158149.33333333334</v>
      </c>
      <c r="BL16" s="5">
        <f t="shared" ref="BL16" si="15">BL13/3</f>
        <v>156289.33333333334</v>
      </c>
      <c r="BM16" s="5">
        <f t="shared" ref="BM16" si="16">BL13/3</f>
        <v>156289.33333333334</v>
      </c>
      <c r="BN16" s="5">
        <f t="shared" ref="BN16" si="17">BL13/3</f>
        <v>156289.33333333334</v>
      </c>
      <c r="BO16" s="5">
        <f t="shared" ref="BO16" si="18">BO13/3</f>
        <v>154630.33333333334</v>
      </c>
      <c r="BP16" s="5">
        <f t="shared" ref="BP16" si="19">BO13/3</f>
        <v>154630.33333333334</v>
      </c>
      <c r="BQ16" s="5">
        <f t="shared" ref="BQ16" si="20">BO13/3</f>
        <v>154630.33333333334</v>
      </c>
      <c r="BR16" s="5">
        <f t="shared" ref="BR16" si="21">BR13/3</f>
        <v>129395</v>
      </c>
      <c r="BS16" s="5">
        <f t="shared" ref="BS16" si="22">BR13/3</f>
        <v>129395</v>
      </c>
      <c r="BT16" s="5">
        <f t="shared" ref="BT16" si="23">BR13/3</f>
        <v>129395</v>
      </c>
      <c r="BU16" s="5">
        <f t="shared" ref="BU16" si="24">BU13/3</f>
        <v>8118.333333333333</v>
      </c>
      <c r="BV16" s="5">
        <f t="shared" ref="BV16" si="25">BU13/3</f>
        <v>8118.333333333333</v>
      </c>
      <c r="BW16" s="5">
        <f t="shared" ref="BW16" si="26">BU13/3</f>
        <v>8118.333333333333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6">
        <v>0</v>
      </c>
      <c r="CE16" s="16">
        <v>0</v>
      </c>
      <c r="CF16" s="16">
        <v>199850</v>
      </c>
      <c r="CG16" s="17">
        <v>9800</v>
      </c>
      <c r="CH16" s="17">
        <v>47250</v>
      </c>
      <c r="CI16" s="17">
        <v>-9800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8"/>
    </row>
    <row r="17" spans="1:96" ht="15" thickBot="1" x14ac:dyDescent="0.4">
      <c r="A17" s="82"/>
      <c r="B17" s="84"/>
      <c r="C17" s="84"/>
      <c r="D17" s="84"/>
      <c r="E17" s="84"/>
      <c r="F17" s="84"/>
      <c r="G17" s="84"/>
      <c r="H17" s="84"/>
      <c r="I17" s="84"/>
      <c r="J17" s="84"/>
      <c r="K17" s="87"/>
      <c r="L17" s="82" t="s">
        <v>15</v>
      </c>
      <c r="M17" s="87"/>
      <c r="N17" s="88" t="s">
        <v>16</v>
      </c>
      <c r="O17" s="89"/>
      <c r="P17" s="82" t="s">
        <v>17</v>
      </c>
      <c r="Q17" s="84"/>
      <c r="R17" s="84"/>
      <c r="S17" s="87"/>
      <c r="T17" s="82" t="s">
        <v>18</v>
      </c>
      <c r="U17" s="84"/>
      <c r="V17" s="84"/>
      <c r="W17" s="87"/>
      <c r="X17" s="9" t="s">
        <v>19</v>
      </c>
      <c r="Y17" s="78" t="s">
        <v>20</v>
      </c>
      <c r="Z17" s="78"/>
      <c r="AA17" s="78"/>
      <c r="AB17" s="78" t="s">
        <v>21</v>
      </c>
      <c r="AC17" s="78"/>
      <c r="AD17" s="78"/>
      <c r="AE17" s="78" t="s">
        <v>22</v>
      </c>
      <c r="AF17" s="78"/>
      <c r="AG17" s="78"/>
      <c r="AH17" s="78" t="s">
        <v>23</v>
      </c>
      <c r="AI17" s="78"/>
      <c r="AJ17" s="78"/>
      <c r="AK17" s="78" t="s">
        <v>24</v>
      </c>
      <c r="AL17" s="78"/>
      <c r="AM17" s="78"/>
      <c r="AN17" s="78" t="s">
        <v>25</v>
      </c>
      <c r="AO17" s="78"/>
      <c r="AP17" s="78"/>
      <c r="AQ17" s="78" t="s">
        <v>26</v>
      </c>
      <c r="AR17" s="78"/>
      <c r="AS17" s="78"/>
      <c r="AT17" s="78" t="s">
        <v>27</v>
      </c>
      <c r="AU17" s="78"/>
      <c r="AV17" s="78"/>
      <c r="AW17" s="78" t="s">
        <v>28</v>
      </c>
      <c r="AX17" s="78"/>
      <c r="AY17" s="78"/>
      <c r="AZ17" s="78" t="s">
        <v>29</v>
      </c>
      <c r="BA17" s="78"/>
      <c r="BB17" s="78"/>
      <c r="BC17" s="78" t="s">
        <v>30</v>
      </c>
      <c r="BD17" s="78"/>
      <c r="BE17" s="78"/>
      <c r="BF17" s="78" t="s">
        <v>31</v>
      </c>
      <c r="BG17" s="78"/>
      <c r="BH17" s="79"/>
      <c r="BI17" s="78" t="s">
        <v>32</v>
      </c>
      <c r="BJ17" s="78"/>
      <c r="BK17" s="78"/>
      <c r="BL17" s="78" t="s">
        <v>33</v>
      </c>
      <c r="BM17" s="78"/>
      <c r="BN17" s="78"/>
      <c r="BO17" s="78" t="s">
        <v>34</v>
      </c>
      <c r="BP17" s="78"/>
      <c r="BQ17" s="78"/>
      <c r="BR17" s="78" t="s">
        <v>35</v>
      </c>
      <c r="BS17" s="78"/>
      <c r="BT17" s="79"/>
      <c r="BU17" s="78" t="s">
        <v>36</v>
      </c>
      <c r="BV17" s="78"/>
      <c r="BW17" s="78"/>
      <c r="BX17" s="78" t="s">
        <v>21</v>
      </c>
      <c r="BY17" s="78"/>
      <c r="BZ17" s="78"/>
      <c r="CA17" s="78" t="s">
        <v>22</v>
      </c>
      <c r="CB17" s="78"/>
      <c r="CC17" s="78"/>
      <c r="CD17" s="78" t="s">
        <v>23</v>
      </c>
      <c r="CE17" s="78"/>
      <c r="CF17" s="78"/>
      <c r="CG17" s="78" t="s">
        <v>24</v>
      </c>
      <c r="CH17" s="78"/>
      <c r="CI17" s="78"/>
      <c r="CJ17" s="78" t="s">
        <v>25</v>
      </c>
      <c r="CK17" s="78"/>
      <c r="CL17" s="78"/>
      <c r="CM17" s="78" t="s">
        <v>26</v>
      </c>
      <c r="CN17" s="78"/>
      <c r="CO17" s="78"/>
      <c r="CP17" s="78" t="s">
        <v>27</v>
      </c>
      <c r="CQ17" s="78"/>
      <c r="CR17" s="79"/>
    </row>
    <row r="18" spans="1:96" x14ac:dyDescent="0.35">
      <c r="A18" s="80"/>
      <c r="B18" s="85"/>
      <c r="C18" s="85"/>
      <c r="D18" s="85"/>
      <c r="E18" s="85"/>
      <c r="F18" s="85"/>
      <c r="G18" s="85"/>
      <c r="H18" s="85"/>
      <c r="I18" s="85"/>
      <c r="J18" s="85"/>
      <c r="K18" s="81"/>
      <c r="L18" s="80" t="s">
        <v>37</v>
      </c>
      <c r="M18" s="81" t="s">
        <v>38</v>
      </c>
      <c r="N18" s="82" t="s">
        <v>16</v>
      </c>
      <c r="O18" s="84" t="s">
        <v>40</v>
      </c>
      <c r="P18" s="80" t="s">
        <v>41</v>
      </c>
      <c r="Q18" s="85" t="s">
        <v>42</v>
      </c>
      <c r="R18" s="85" t="s">
        <v>43</v>
      </c>
      <c r="S18" s="81" t="s">
        <v>44</v>
      </c>
      <c r="T18" s="80" t="s">
        <v>41</v>
      </c>
      <c r="U18" s="85" t="s">
        <v>42</v>
      </c>
      <c r="V18" s="85" t="s">
        <v>43</v>
      </c>
      <c r="W18" s="81" t="s">
        <v>44</v>
      </c>
      <c r="X18" s="10" t="s">
        <v>42</v>
      </c>
      <c r="Y18" s="77">
        <f>AA21+Z21+Y21</f>
        <v>55983.684460636781</v>
      </c>
      <c r="Z18" s="77"/>
      <c r="AA18" s="77"/>
      <c r="AB18" s="77">
        <f>AD21+AC21+AB21</f>
        <v>845725.09108189447</v>
      </c>
      <c r="AC18" s="77"/>
      <c r="AD18" s="77"/>
      <c r="AE18" s="77">
        <f>AG21+AF21+AE21</f>
        <v>431684.61904007604</v>
      </c>
      <c r="AF18" s="77"/>
      <c r="AG18" s="77"/>
      <c r="AH18" s="75">
        <v>358919.0955171868</v>
      </c>
      <c r="AI18" s="75"/>
      <c r="AJ18" s="75"/>
      <c r="AK18" s="75">
        <v>249000</v>
      </c>
      <c r="AL18" s="75"/>
      <c r="AM18" s="75"/>
      <c r="AN18" s="75">
        <v>150000</v>
      </c>
      <c r="AO18" s="75"/>
      <c r="AP18" s="75"/>
      <c r="AQ18" s="75">
        <v>0</v>
      </c>
      <c r="AR18" s="75"/>
      <c r="AS18" s="75"/>
      <c r="AT18" s="75">
        <v>150000</v>
      </c>
      <c r="AU18" s="75"/>
      <c r="AV18" s="75"/>
      <c r="AW18" s="75">
        <v>150000</v>
      </c>
      <c r="AX18" s="75"/>
      <c r="AY18" s="75"/>
      <c r="AZ18" s="75">
        <v>150000</v>
      </c>
      <c r="BA18" s="75"/>
      <c r="BB18" s="75"/>
      <c r="BC18" s="75">
        <v>150000</v>
      </c>
      <c r="BD18" s="75"/>
      <c r="BE18" s="75"/>
      <c r="BF18" s="75">
        <v>150000</v>
      </c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7">
        <v>845725.09108189447</v>
      </c>
      <c r="BY18" s="77"/>
      <c r="BZ18" s="77"/>
      <c r="CA18" s="77">
        <v>431684.61904007604</v>
      </c>
      <c r="CB18" s="77"/>
      <c r="CC18" s="77"/>
      <c r="CD18" s="75">
        <v>358919.0955171868</v>
      </c>
      <c r="CE18" s="75"/>
      <c r="CF18" s="75"/>
      <c r="CG18" s="75">
        <v>249000</v>
      </c>
      <c r="CH18" s="75"/>
      <c r="CI18" s="75"/>
      <c r="CJ18" s="75">
        <v>0</v>
      </c>
      <c r="CK18" s="75"/>
      <c r="CL18" s="75"/>
      <c r="CM18" s="75">
        <v>0</v>
      </c>
      <c r="CN18" s="75"/>
      <c r="CO18" s="75"/>
      <c r="CP18" s="75">
        <v>0</v>
      </c>
      <c r="CQ18" s="75"/>
      <c r="CR18" s="76"/>
    </row>
    <row r="19" spans="1:96" x14ac:dyDescent="0.35">
      <c r="A19" s="80"/>
      <c r="B19" s="85"/>
      <c r="C19" s="85"/>
      <c r="D19" s="85"/>
      <c r="E19" s="85"/>
      <c r="F19" s="85"/>
      <c r="G19" s="85"/>
      <c r="H19" s="85"/>
      <c r="I19" s="85"/>
      <c r="J19" s="85"/>
      <c r="K19" s="81"/>
      <c r="L19" s="80"/>
      <c r="M19" s="81"/>
      <c r="N19" s="80"/>
      <c r="O19" s="85"/>
      <c r="P19" s="80"/>
      <c r="Q19" s="85"/>
      <c r="R19" s="85"/>
      <c r="S19" s="81"/>
      <c r="T19" s="80"/>
      <c r="U19" s="85"/>
      <c r="V19" s="85"/>
      <c r="W19" s="81"/>
      <c r="X19" s="10" t="s">
        <v>45</v>
      </c>
      <c r="Y19" s="90"/>
      <c r="Z19" s="77"/>
      <c r="AA19" s="77"/>
      <c r="AB19" s="77">
        <v>830000</v>
      </c>
      <c r="AC19" s="77"/>
      <c r="AD19" s="77"/>
      <c r="AE19" s="77"/>
      <c r="AF19" s="77"/>
      <c r="AG19" s="77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>
        <v>0</v>
      </c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6"/>
      <c r="BI19" s="75">
        <v>0</v>
      </c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6"/>
      <c r="BU19" s="75">
        <v>0</v>
      </c>
      <c r="BV19" s="75"/>
      <c r="BW19" s="75"/>
      <c r="BX19" s="77">
        <v>830000</v>
      </c>
      <c r="BY19" s="77"/>
      <c r="BZ19" s="77"/>
      <c r="CA19" s="75">
        <v>0</v>
      </c>
      <c r="CB19" s="75"/>
      <c r="CC19" s="75"/>
      <c r="CD19" s="75"/>
      <c r="CE19" s="75"/>
      <c r="CF19" s="75"/>
      <c r="CG19" s="75">
        <v>0</v>
      </c>
      <c r="CH19" s="75"/>
      <c r="CI19" s="75"/>
      <c r="CJ19" s="75">
        <v>0</v>
      </c>
      <c r="CK19" s="75"/>
      <c r="CL19" s="75"/>
      <c r="CM19" s="75">
        <v>0</v>
      </c>
      <c r="CN19" s="75"/>
      <c r="CO19" s="75"/>
      <c r="CP19" s="75">
        <v>0</v>
      </c>
      <c r="CQ19" s="75"/>
      <c r="CR19" s="76"/>
    </row>
    <row r="20" spans="1:96" ht="15" thickBot="1" x14ac:dyDescent="0.4">
      <c r="A20" s="80"/>
      <c r="B20" s="85"/>
      <c r="C20" s="85"/>
      <c r="D20" s="85"/>
      <c r="E20" s="85"/>
      <c r="F20" s="85"/>
      <c r="G20" s="85"/>
      <c r="H20" s="85"/>
      <c r="I20" s="85"/>
      <c r="J20" s="85"/>
      <c r="K20" s="81"/>
      <c r="L20" s="80"/>
      <c r="M20" s="81"/>
      <c r="N20" s="83"/>
      <c r="O20" s="86"/>
      <c r="P20" s="80"/>
      <c r="Q20" s="85"/>
      <c r="R20" s="85"/>
      <c r="S20" s="81"/>
      <c r="T20" s="80"/>
      <c r="U20" s="85"/>
      <c r="V20" s="85"/>
      <c r="W20" s="81"/>
      <c r="X20" s="10" t="s">
        <v>46</v>
      </c>
      <c r="Y20" t="s">
        <v>47</v>
      </c>
      <c r="Z20" t="s">
        <v>48</v>
      </c>
      <c r="AA20" t="s">
        <v>49</v>
      </c>
      <c r="AB20" t="s">
        <v>50</v>
      </c>
      <c r="AC20" t="s">
        <v>51</v>
      </c>
      <c r="AD20" t="s">
        <v>52</v>
      </c>
      <c r="AE20" t="s">
        <v>53</v>
      </c>
      <c r="AF20" t="s">
        <v>54</v>
      </c>
      <c r="AG20" t="s">
        <v>55</v>
      </c>
      <c r="AH20" t="s">
        <v>56</v>
      </c>
      <c r="AI20" t="s">
        <v>57</v>
      </c>
      <c r="AJ20" t="s">
        <v>58</v>
      </c>
      <c r="AK20" t="s">
        <v>47</v>
      </c>
      <c r="AL20" t="s">
        <v>48</v>
      </c>
      <c r="AM20" t="s">
        <v>49</v>
      </c>
      <c r="AN20" t="s">
        <v>50</v>
      </c>
      <c r="AO20" t="s">
        <v>51</v>
      </c>
      <c r="AP20" t="s">
        <v>52</v>
      </c>
      <c r="AQ20" t="s">
        <v>53</v>
      </c>
      <c r="AR20" t="s">
        <v>54</v>
      </c>
      <c r="AS20" t="s">
        <v>55</v>
      </c>
      <c r="AT20" t="s">
        <v>56</v>
      </c>
      <c r="AU20" t="s">
        <v>57</v>
      </c>
      <c r="AV20" t="s">
        <v>58</v>
      </c>
      <c r="AW20" t="s">
        <v>47</v>
      </c>
      <c r="AX20" t="s">
        <v>48</v>
      </c>
      <c r="AY20" t="s">
        <v>49</v>
      </c>
      <c r="AZ20" t="s">
        <v>50</v>
      </c>
      <c r="BA20" t="s">
        <v>51</v>
      </c>
      <c r="BB20" t="s">
        <v>52</v>
      </c>
      <c r="BC20" t="s">
        <v>53</v>
      </c>
      <c r="BD20" t="s">
        <v>54</v>
      </c>
      <c r="BE20" t="s">
        <v>55</v>
      </c>
      <c r="BF20" t="s">
        <v>56</v>
      </c>
      <c r="BG20" t="s">
        <v>57</v>
      </c>
      <c r="BH20" t="s">
        <v>58</v>
      </c>
      <c r="BI20" t="s">
        <v>47</v>
      </c>
      <c r="BJ20" t="s">
        <v>48</v>
      </c>
      <c r="BK20" t="s">
        <v>49</v>
      </c>
      <c r="BL20" t="s">
        <v>50</v>
      </c>
      <c r="BM20" t="s">
        <v>51</v>
      </c>
      <c r="BN20" t="s">
        <v>52</v>
      </c>
      <c r="BO20" t="s">
        <v>53</v>
      </c>
      <c r="BP20" t="s">
        <v>54</v>
      </c>
      <c r="BQ20" t="s">
        <v>55</v>
      </c>
      <c r="BR20" t="s">
        <v>56</v>
      </c>
      <c r="BS20" t="s">
        <v>57</v>
      </c>
      <c r="BT20" t="s">
        <v>58</v>
      </c>
      <c r="BU20" t="s">
        <v>47</v>
      </c>
      <c r="BV20" t="s">
        <v>48</v>
      </c>
      <c r="BW20" t="s">
        <v>49</v>
      </c>
      <c r="BX20" t="s">
        <v>50</v>
      </c>
      <c r="BY20" t="s">
        <v>51</v>
      </c>
      <c r="BZ20" t="s">
        <v>52</v>
      </c>
      <c r="CA20" t="s">
        <v>53</v>
      </c>
      <c r="CB20" t="s">
        <v>54</v>
      </c>
      <c r="CC20" t="s">
        <v>55</v>
      </c>
      <c r="CD20" t="s">
        <v>56</v>
      </c>
      <c r="CE20" t="s">
        <v>57</v>
      </c>
      <c r="CF20" t="s">
        <v>58</v>
      </c>
      <c r="CG20" t="s">
        <v>47</v>
      </c>
      <c r="CH20" t="s">
        <v>48</v>
      </c>
      <c r="CI20" t="s">
        <v>49</v>
      </c>
      <c r="CJ20" t="s">
        <v>50</v>
      </c>
      <c r="CK20" t="s">
        <v>51</v>
      </c>
      <c r="CL20" t="s">
        <v>52</v>
      </c>
      <c r="CM20" t="s">
        <v>53</v>
      </c>
      <c r="CN20" t="s">
        <v>54</v>
      </c>
      <c r="CO20" t="s">
        <v>55</v>
      </c>
      <c r="CP20" t="s">
        <v>56</v>
      </c>
      <c r="CQ20" t="s">
        <v>57</v>
      </c>
      <c r="CR20" s="2" t="s">
        <v>58</v>
      </c>
    </row>
    <row r="21" spans="1:96" ht="58.5" customHeight="1" thickBot="1" x14ac:dyDescent="0.4">
      <c r="A21" t="s">
        <v>68</v>
      </c>
      <c r="B21" s="13" t="s">
        <v>60</v>
      </c>
      <c r="C21" s="13">
        <v>400365175</v>
      </c>
      <c r="D21" s="13">
        <v>301002795</v>
      </c>
      <c r="E21" s="24">
        <v>15426325</v>
      </c>
      <c r="F21" s="13" t="s">
        <v>69</v>
      </c>
      <c r="G21" t="e" vm="4">
        <v>#VALUE!</v>
      </c>
      <c r="H21" s="1">
        <v>3350000</v>
      </c>
      <c r="I21" s="1">
        <f>H21*3.674</f>
        <v>12307900</v>
      </c>
      <c r="J21" s="1">
        <v>40402</v>
      </c>
      <c r="K21" s="14">
        <v>50504</v>
      </c>
      <c r="L21" s="25">
        <v>80</v>
      </c>
      <c r="M21" s="25">
        <v>60</v>
      </c>
      <c r="N21" s="8">
        <v>203250</v>
      </c>
      <c r="O21" s="1">
        <v>0</v>
      </c>
      <c r="P21" s="8">
        <v>40402</v>
      </c>
      <c r="Q21" s="1">
        <v>3350000</v>
      </c>
      <c r="R21" s="1">
        <v>1894536</v>
      </c>
      <c r="S21" s="12">
        <v>0.434</v>
      </c>
      <c r="T21" s="8">
        <v>40298</v>
      </c>
      <c r="U21" s="1">
        <v>3350000</v>
      </c>
      <c r="V21" s="1" t="s">
        <v>70</v>
      </c>
      <c r="W21" s="12">
        <v>0.45700000000000002</v>
      </c>
      <c r="X21" s="11" t="s">
        <v>42</v>
      </c>
      <c r="Y21" s="5">
        <v>0</v>
      </c>
      <c r="Z21" s="5">
        <v>0</v>
      </c>
      <c r="AA21" s="5">
        <v>55983.684460636781</v>
      </c>
      <c r="AB21" s="5">
        <v>247283.38349437667</v>
      </c>
      <c r="AC21" s="5">
        <v>338820.68747029937</v>
      </c>
      <c r="AD21" s="5">
        <v>259621.02011721843</v>
      </c>
      <c r="AE21" s="5">
        <v>98037.77918580707</v>
      </c>
      <c r="AF21" s="5">
        <v>170670.63994931095</v>
      </c>
      <c r="AG21" s="5">
        <v>162976.19990495802</v>
      </c>
      <c r="AH21" s="16">
        <v>115151.27514652305</v>
      </c>
      <c r="AI21" s="16">
        <v>114089.97307143989</v>
      </c>
      <c r="AJ21" s="16">
        <v>129677.84729922382</v>
      </c>
      <c r="AK21" s="16">
        <v>83000</v>
      </c>
      <c r="AL21" s="16">
        <v>83000</v>
      </c>
      <c r="AM21" s="16">
        <v>83000</v>
      </c>
      <c r="AN21" s="56">
        <v>50000</v>
      </c>
      <c r="AO21" s="56">
        <v>50000</v>
      </c>
      <c r="AP21" s="56">
        <v>50000</v>
      </c>
      <c r="AQ21" s="56">
        <v>50000</v>
      </c>
      <c r="AR21" s="56">
        <v>50000</v>
      </c>
      <c r="AS21" s="56">
        <v>50000</v>
      </c>
      <c r="AT21" s="56">
        <v>50000</v>
      </c>
      <c r="AU21" s="56">
        <v>50000</v>
      </c>
      <c r="AV21" s="56">
        <v>50000</v>
      </c>
      <c r="AW21" s="56">
        <v>50000</v>
      </c>
      <c r="AX21" s="56">
        <v>50000</v>
      </c>
      <c r="AY21" s="56">
        <v>50000</v>
      </c>
      <c r="AZ21" s="56">
        <v>50000</v>
      </c>
      <c r="BA21" s="56">
        <v>50000</v>
      </c>
      <c r="BB21" s="56">
        <v>50000</v>
      </c>
      <c r="BC21" s="56">
        <v>50000</v>
      </c>
      <c r="BD21" s="56">
        <v>50000</v>
      </c>
      <c r="BE21" s="56">
        <v>50000</v>
      </c>
      <c r="BF21" s="56">
        <v>50000</v>
      </c>
      <c r="BG21" s="56">
        <v>50000</v>
      </c>
      <c r="BH21" s="56">
        <v>50000</v>
      </c>
      <c r="BI21" s="56">
        <v>50000</v>
      </c>
      <c r="BJ21" s="56">
        <v>50000</v>
      </c>
      <c r="BK21" s="56">
        <v>50000</v>
      </c>
      <c r="BL21" s="56">
        <v>50000</v>
      </c>
      <c r="BM21" s="56">
        <v>50000</v>
      </c>
      <c r="BN21" s="56">
        <v>50000</v>
      </c>
      <c r="BO21" s="56">
        <v>50000</v>
      </c>
      <c r="BP21" s="56"/>
      <c r="BQ21" s="56"/>
      <c r="BR21" s="57">
        <v>0</v>
      </c>
      <c r="BS21" s="57">
        <v>0</v>
      </c>
      <c r="BT21" s="57">
        <v>0</v>
      </c>
      <c r="BU21" s="57">
        <v>0</v>
      </c>
      <c r="BV21" s="57">
        <v>0</v>
      </c>
      <c r="BW21" s="57">
        <v>0</v>
      </c>
      <c r="BX21" s="5">
        <v>247283.38349437667</v>
      </c>
      <c r="BY21" s="5">
        <v>338820.68747029937</v>
      </c>
      <c r="BZ21" s="5">
        <v>259621.02011721843</v>
      </c>
      <c r="CA21" s="5">
        <v>98037.77918580707</v>
      </c>
      <c r="CB21" s="5">
        <v>170670.63994931095</v>
      </c>
      <c r="CC21" s="5">
        <v>162976.19990495802</v>
      </c>
      <c r="CD21" s="16">
        <v>115151.27514652305</v>
      </c>
      <c r="CE21" s="16">
        <v>114089.97307143989</v>
      </c>
      <c r="CF21" s="16">
        <v>129677.84729922382</v>
      </c>
      <c r="CG21" s="16">
        <v>83000</v>
      </c>
      <c r="CH21" s="16">
        <v>83000</v>
      </c>
      <c r="CI21" s="16">
        <v>83000</v>
      </c>
      <c r="CJ21" s="57">
        <v>0</v>
      </c>
      <c r="CK21" s="57">
        <v>0</v>
      </c>
      <c r="CL21" s="57">
        <v>0</v>
      </c>
      <c r="CM21" s="57">
        <v>0</v>
      </c>
      <c r="CN21" s="57">
        <v>0</v>
      </c>
      <c r="CO21" s="57">
        <v>0</v>
      </c>
      <c r="CP21" s="57">
        <v>0</v>
      </c>
      <c r="CQ21" s="57">
        <v>0</v>
      </c>
      <c r="CR21" s="18"/>
    </row>
  </sheetData>
  <mergeCells count="399">
    <mergeCell ref="CP13:CR13"/>
    <mergeCell ref="Y14:AA14"/>
    <mergeCell ref="AB14:AD14"/>
    <mergeCell ref="AE14:AG14"/>
    <mergeCell ref="AH14:AJ14"/>
    <mergeCell ref="AK14:AM14"/>
    <mergeCell ref="AN14:AP14"/>
    <mergeCell ref="AQ14:AS14"/>
    <mergeCell ref="AT14:AV14"/>
    <mergeCell ref="BU14:BW14"/>
    <mergeCell ref="BX14:BZ14"/>
    <mergeCell ref="CA14:CC14"/>
    <mergeCell ref="CD14:CF14"/>
    <mergeCell ref="CG14:CI14"/>
    <mergeCell ref="CJ14:CL14"/>
    <mergeCell ref="CM14:CO14"/>
    <mergeCell ref="CP14:CR14"/>
    <mergeCell ref="AN13:AP13"/>
    <mergeCell ref="AQ13:AS13"/>
    <mergeCell ref="AT13:AV13"/>
    <mergeCell ref="BU13:BW13"/>
    <mergeCell ref="BX13:BZ13"/>
    <mergeCell ref="CA13:CC13"/>
    <mergeCell ref="CD13:CF13"/>
    <mergeCell ref="CG13:CI13"/>
    <mergeCell ref="CJ13:CL13"/>
    <mergeCell ref="BX12:BZ12"/>
    <mergeCell ref="CA12:CC12"/>
    <mergeCell ref="CD12:CF12"/>
    <mergeCell ref="CG12:CI12"/>
    <mergeCell ref="CJ12:CL12"/>
    <mergeCell ref="CM12:CO12"/>
    <mergeCell ref="CM13:CO13"/>
    <mergeCell ref="CP12:CR12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Y13:AA13"/>
    <mergeCell ref="AB13:AD13"/>
    <mergeCell ref="AE13:AG13"/>
    <mergeCell ref="AH13:AJ13"/>
    <mergeCell ref="AK13:AM13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BU12:BW12"/>
    <mergeCell ref="P3:P5"/>
    <mergeCell ref="T3:T5"/>
    <mergeCell ref="U3:U5"/>
    <mergeCell ref="V3:V5"/>
    <mergeCell ref="W3:W5"/>
    <mergeCell ref="A12:A15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  <mergeCell ref="K12:K15"/>
    <mergeCell ref="L12:M12"/>
    <mergeCell ref="N12:O12"/>
    <mergeCell ref="P12:S12"/>
    <mergeCell ref="T12:W12"/>
    <mergeCell ref="C2:C5"/>
    <mergeCell ref="D2:D5"/>
    <mergeCell ref="F2:F5"/>
    <mergeCell ref="H2:H5"/>
    <mergeCell ref="I2:I5"/>
    <mergeCell ref="J2:J5"/>
    <mergeCell ref="E2:E5"/>
    <mergeCell ref="Y3:AA3"/>
    <mergeCell ref="AB3:AD3"/>
    <mergeCell ref="N2:O2"/>
    <mergeCell ref="N3:N5"/>
    <mergeCell ref="O3:O5"/>
    <mergeCell ref="P2:S2"/>
    <mergeCell ref="T2:W2"/>
    <mergeCell ref="G2:G5"/>
    <mergeCell ref="K2:K5"/>
    <mergeCell ref="Y2:AA2"/>
    <mergeCell ref="AB2:AD2"/>
    <mergeCell ref="L2:M2"/>
    <mergeCell ref="L3:L5"/>
    <mergeCell ref="M3:M5"/>
    <mergeCell ref="Q3:Q5"/>
    <mergeCell ref="R3:R5"/>
    <mergeCell ref="S3:S5"/>
    <mergeCell ref="CG2:CI2"/>
    <mergeCell ref="CA2:CC2"/>
    <mergeCell ref="CM2:CO2"/>
    <mergeCell ref="AN2:AP2"/>
    <mergeCell ref="AQ2:AS2"/>
    <mergeCell ref="AT2:AV2"/>
    <mergeCell ref="AE4:AG4"/>
    <mergeCell ref="AH4:AJ4"/>
    <mergeCell ref="AQ4:AS4"/>
    <mergeCell ref="AT4:AV4"/>
    <mergeCell ref="AT3:AV3"/>
    <mergeCell ref="BU3:BW3"/>
    <mergeCell ref="AE2:AG2"/>
    <mergeCell ref="AH2:AJ2"/>
    <mergeCell ref="AH3:AJ3"/>
    <mergeCell ref="CJ4:CL4"/>
    <mergeCell ref="AE3:AG3"/>
    <mergeCell ref="AK2:AM2"/>
    <mergeCell ref="AN3:AP3"/>
    <mergeCell ref="AQ3:AS3"/>
    <mergeCell ref="BU2:BW2"/>
    <mergeCell ref="BX2:BZ2"/>
    <mergeCell ref="AK3:AM3"/>
    <mergeCell ref="AN4:AP4"/>
    <mergeCell ref="A7:A10"/>
    <mergeCell ref="B7:B10"/>
    <mergeCell ref="C7:C10"/>
    <mergeCell ref="D7:D10"/>
    <mergeCell ref="A2:A5"/>
    <mergeCell ref="B2:B5"/>
    <mergeCell ref="A1:W1"/>
    <mergeCell ref="CM4:CO4"/>
    <mergeCell ref="CP4:CR4"/>
    <mergeCell ref="BU4:BW4"/>
    <mergeCell ref="BX4:BZ4"/>
    <mergeCell ref="CA4:CC4"/>
    <mergeCell ref="CD4:CF4"/>
    <mergeCell ref="AK4:AM4"/>
    <mergeCell ref="CP3:CR3"/>
    <mergeCell ref="BX3:BZ3"/>
    <mergeCell ref="CA3:CC3"/>
    <mergeCell ref="CD3:CF3"/>
    <mergeCell ref="CG3:CI3"/>
    <mergeCell ref="CP2:CR2"/>
    <mergeCell ref="CJ2:CL2"/>
    <mergeCell ref="CJ3:CL3"/>
    <mergeCell ref="CM3:CO3"/>
    <mergeCell ref="CD2:CF2"/>
    <mergeCell ref="J7:J10"/>
    <mergeCell ref="K7:K10"/>
    <mergeCell ref="N7:O7"/>
    <mergeCell ref="P7:S7"/>
    <mergeCell ref="T7:W7"/>
    <mergeCell ref="E7:E10"/>
    <mergeCell ref="F7:F10"/>
    <mergeCell ref="G7:G10"/>
    <mergeCell ref="H7:H10"/>
    <mergeCell ref="I7:I10"/>
    <mergeCell ref="L7:M7"/>
    <mergeCell ref="L8:L10"/>
    <mergeCell ref="M8:M10"/>
    <mergeCell ref="CG7:CI7"/>
    <mergeCell ref="CJ7:CL7"/>
    <mergeCell ref="CM7:CO7"/>
    <mergeCell ref="AN7:AP7"/>
    <mergeCell ref="AQ7:AS7"/>
    <mergeCell ref="AT7:AV7"/>
    <mergeCell ref="BU7:BW7"/>
    <mergeCell ref="BX7:BZ7"/>
    <mergeCell ref="Y7:AA7"/>
    <mergeCell ref="AB7:AD7"/>
    <mergeCell ref="AE7:AG7"/>
    <mergeCell ref="AH7:AJ7"/>
    <mergeCell ref="AK7:AM7"/>
    <mergeCell ref="BI7:BK7"/>
    <mergeCell ref="BL7:BN7"/>
    <mergeCell ref="BO7:BQ7"/>
    <mergeCell ref="BR7:BT7"/>
    <mergeCell ref="AW7:AY7"/>
    <mergeCell ref="AZ7:BB7"/>
    <mergeCell ref="BC7:BE7"/>
    <mergeCell ref="BF7:BH7"/>
    <mergeCell ref="CM8:CO8"/>
    <mergeCell ref="AN8:AP8"/>
    <mergeCell ref="AQ8:AS8"/>
    <mergeCell ref="AT8:AV8"/>
    <mergeCell ref="BU8:BW8"/>
    <mergeCell ref="BX8:BZ8"/>
    <mergeCell ref="CP7:CR7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Y8:AA8"/>
    <mergeCell ref="AB8:AD8"/>
    <mergeCell ref="AE8:AG8"/>
    <mergeCell ref="AH8:AJ8"/>
    <mergeCell ref="AK8:AM8"/>
    <mergeCell ref="CA7:CC7"/>
    <mergeCell ref="CD7:CF7"/>
    <mergeCell ref="CG9:CI9"/>
    <mergeCell ref="CJ9:CL9"/>
    <mergeCell ref="Y4:AA4"/>
    <mergeCell ref="AB4:AD4"/>
    <mergeCell ref="AB9:AD9"/>
    <mergeCell ref="Y9:AA9"/>
    <mergeCell ref="CG4:CI4"/>
    <mergeCell ref="CP8:CR8"/>
    <mergeCell ref="AE9:AG9"/>
    <mergeCell ref="AH9:AJ9"/>
    <mergeCell ref="AK9:AM9"/>
    <mergeCell ref="AN9:AP9"/>
    <mergeCell ref="AQ9:AS9"/>
    <mergeCell ref="AT9:AV9"/>
    <mergeCell ref="BU9:BW9"/>
    <mergeCell ref="BX9:BZ9"/>
    <mergeCell ref="CA9:CC9"/>
    <mergeCell ref="CD9:CF9"/>
    <mergeCell ref="CM9:CO9"/>
    <mergeCell ref="CP9:CR9"/>
    <mergeCell ref="CA8:CC8"/>
    <mergeCell ref="CD8:CF8"/>
    <mergeCell ref="CG8:CI8"/>
    <mergeCell ref="CJ8:CL8"/>
    <mergeCell ref="BI2:BK2"/>
    <mergeCell ref="BL2:BN2"/>
    <mergeCell ref="BO2:BQ2"/>
    <mergeCell ref="BR2:BT2"/>
    <mergeCell ref="BI3:BK3"/>
    <mergeCell ref="BL3:BN3"/>
    <mergeCell ref="BO3:BQ3"/>
    <mergeCell ref="BR3:BT3"/>
    <mergeCell ref="BI4:BK4"/>
    <mergeCell ref="BL4:BN4"/>
    <mergeCell ref="BO4:BQ4"/>
    <mergeCell ref="BR4:BT4"/>
    <mergeCell ref="BI14:BK14"/>
    <mergeCell ref="BL14:BN14"/>
    <mergeCell ref="BO14:BQ14"/>
    <mergeCell ref="BR14:BT14"/>
    <mergeCell ref="BI8:BK8"/>
    <mergeCell ref="BL8:BN8"/>
    <mergeCell ref="BO8:BQ8"/>
    <mergeCell ref="BR8:BT8"/>
    <mergeCell ref="BI9:BK9"/>
    <mergeCell ref="BL9:BN9"/>
    <mergeCell ref="BO9:BQ9"/>
    <mergeCell ref="BR9:BT9"/>
    <mergeCell ref="BI12:BK12"/>
    <mergeCell ref="BL12:BN12"/>
    <mergeCell ref="BO12:BQ12"/>
    <mergeCell ref="BR12:BT12"/>
    <mergeCell ref="BI13:BK13"/>
    <mergeCell ref="BL13:BN13"/>
    <mergeCell ref="BO13:BQ13"/>
    <mergeCell ref="BR13:BT13"/>
    <mergeCell ref="BC2:BE2"/>
    <mergeCell ref="BF2:BH2"/>
    <mergeCell ref="AW3:AY3"/>
    <mergeCell ref="AZ3:BB3"/>
    <mergeCell ref="BC3:BE3"/>
    <mergeCell ref="BF3:BH3"/>
    <mergeCell ref="AW4:AY4"/>
    <mergeCell ref="AZ4:BB4"/>
    <mergeCell ref="BC4:BE4"/>
    <mergeCell ref="BF4:BH4"/>
    <mergeCell ref="BX1:CR1"/>
    <mergeCell ref="AW13:AY13"/>
    <mergeCell ref="AZ13:BB13"/>
    <mergeCell ref="BC13:BE13"/>
    <mergeCell ref="BF13:BH13"/>
    <mergeCell ref="AW14:AY14"/>
    <mergeCell ref="AZ14:BB14"/>
    <mergeCell ref="BC14:BE14"/>
    <mergeCell ref="BF14:BH14"/>
    <mergeCell ref="Y1:BW1"/>
    <mergeCell ref="AW8:AY8"/>
    <mergeCell ref="AZ8:BB8"/>
    <mergeCell ref="BC8:BE8"/>
    <mergeCell ref="BF8:BH8"/>
    <mergeCell ref="AW9:AY9"/>
    <mergeCell ref="AZ9:BB9"/>
    <mergeCell ref="BC9:BE9"/>
    <mergeCell ref="BF9:BH9"/>
    <mergeCell ref="AW12:AY12"/>
    <mergeCell ref="AZ12:BB12"/>
    <mergeCell ref="BC12:BE12"/>
    <mergeCell ref="BF12:BH12"/>
    <mergeCell ref="AW2:AY2"/>
    <mergeCell ref="AZ2:BB2"/>
    <mergeCell ref="A17:A20"/>
    <mergeCell ref="B17:B20"/>
    <mergeCell ref="C17:C20"/>
    <mergeCell ref="D17:D20"/>
    <mergeCell ref="E17:E20"/>
    <mergeCell ref="F17:F20"/>
    <mergeCell ref="G17:G20"/>
    <mergeCell ref="H17:H20"/>
    <mergeCell ref="I17:I20"/>
    <mergeCell ref="J17:J20"/>
    <mergeCell ref="K17:K20"/>
    <mergeCell ref="L17:M17"/>
    <mergeCell ref="N17:O17"/>
    <mergeCell ref="P17:S17"/>
    <mergeCell ref="T17:W17"/>
    <mergeCell ref="Y17:AA17"/>
    <mergeCell ref="AB17:AD17"/>
    <mergeCell ref="AE17:AG17"/>
    <mergeCell ref="Y19:AA19"/>
    <mergeCell ref="AB19:AD19"/>
    <mergeCell ref="AE19:AG19"/>
    <mergeCell ref="AH17:AJ17"/>
    <mergeCell ref="AK17:AM17"/>
    <mergeCell ref="AN17:AP17"/>
    <mergeCell ref="AQ17:AS17"/>
    <mergeCell ref="AT17:AV17"/>
    <mergeCell ref="AW17:AY17"/>
    <mergeCell ref="AZ17:BB17"/>
    <mergeCell ref="BC17:BE17"/>
    <mergeCell ref="BF17:BH17"/>
    <mergeCell ref="BI17:BK17"/>
    <mergeCell ref="BL17:BN17"/>
    <mergeCell ref="BO17:BQ17"/>
    <mergeCell ref="BR17:BT17"/>
    <mergeCell ref="BU17:BW17"/>
    <mergeCell ref="BX17:BZ17"/>
    <mergeCell ref="CA17:CC17"/>
    <mergeCell ref="CD17:CF17"/>
    <mergeCell ref="CG17:CI17"/>
    <mergeCell ref="CJ17:CL17"/>
    <mergeCell ref="CM17:CO17"/>
    <mergeCell ref="CP17:CR17"/>
    <mergeCell ref="L18:L20"/>
    <mergeCell ref="M18:M20"/>
    <mergeCell ref="N18:N20"/>
    <mergeCell ref="O18:O20"/>
    <mergeCell ref="P18:P20"/>
    <mergeCell ref="Q18:Q20"/>
    <mergeCell ref="R18:R20"/>
    <mergeCell ref="S18:S20"/>
    <mergeCell ref="T18:T20"/>
    <mergeCell ref="U18:U20"/>
    <mergeCell ref="V18:V20"/>
    <mergeCell ref="W18:W20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H19:AJ19"/>
    <mergeCell ref="AK19:AM19"/>
    <mergeCell ref="AN19:AP19"/>
    <mergeCell ref="AQ19:AS19"/>
    <mergeCell ref="AT19:AV19"/>
    <mergeCell ref="AW19:AY19"/>
    <mergeCell ref="CA19:CC19"/>
    <mergeCell ref="CD19:CF19"/>
    <mergeCell ref="CG19:CI19"/>
    <mergeCell ref="AZ19:BB19"/>
    <mergeCell ref="BC19:BE19"/>
    <mergeCell ref="BF19:BH19"/>
    <mergeCell ref="BI19:BK19"/>
    <mergeCell ref="BL19:BN19"/>
    <mergeCell ref="BO19:BQ19"/>
    <mergeCell ref="BR19:BT19"/>
    <mergeCell ref="BU19:BW19"/>
    <mergeCell ref="BX19:BZ19"/>
    <mergeCell ref="CJ19:CL19"/>
    <mergeCell ref="CM19:CO19"/>
    <mergeCell ref="CP19:CR19"/>
    <mergeCell ref="CA18:CC18"/>
    <mergeCell ref="CD18:CF18"/>
    <mergeCell ref="CG18:CI18"/>
    <mergeCell ref="CJ18:CL18"/>
    <mergeCell ref="CM18:CO18"/>
    <mergeCell ref="CP18:CR18"/>
  </mergeCells>
  <phoneticPr fontId="2" type="noConversion"/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FC46-6DB6-4292-AAC4-2B773924DA07}">
  <dimension ref="A2:T163"/>
  <sheetViews>
    <sheetView topLeftCell="A73" workbookViewId="0">
      <selection activeCell="E77" sqref="E77"/>
    </sheetView>
  </sheetViews>
  <sheetFormatPr defaultRowHeight="14.5" x14ac:dyDescent="0.35"/>
  <cols>
    <col min="1" max="1" width="33.81640625" bestFit="1" customWidth="1"/>
    <col min="2" max="2" width="16.1796875" bestFit="1" customWidth="1"/>
    <col min="3" max="6" width="8.54296875" bestFit="1" customWidth="1"/>
    <col min="7" max="7" width="9" bestFit="1" customWidth="1"/>
    <col min="8" max="8" width="5.453125" bestFit="1" customWidth="1"/>
    <col min="9" max="9" width="5.81640625" bestFit="1" customWidth="1"/>
    <col min="10" max="10" width="10.7265625" bestFit="1" customWidth="1"/>
    <col min="11" max="13" width="7.453125" bestFit="1" customWidth="1"/>
    <col min="14" max="14" width="7.81640625" bestFit="1" customWidth="1"/>
    <col min="15" max="15" width="10.7265625" bestFit="1" customWidth="1"/>
    <col min="16" max="18" width="7.453125" bestFit="1" customWidth="1"/>
    <col min="19" max="19" width="7.81640625" bestFit="1" customWidth="1"/>
    <col min="20" max="20" width="10.7265625" bestFit="1" customWidth="1"/>
    <col min="21" max="21" width="9.7265625" bestFit="1" customWidth="1"/>
    <col min="22" max="22" width="9.81640625" bestFit="1" customWidth="1"/>
    <col min="23" max="23" width="11.26953125" bestFit="1" customWidth="1"/>
    <col min="24" max="26" width="57.453125" bestFit="1" customWidth="1"/>
    <col min="27" max="27" width="11.26953125" bestFit="1" customWidth="1"/>
  </cols>
  <sheetData>
    <row r="2" spans="1:20" x14ac:dyDescent="0.35">
      <c r="A2" s="4" t="s">
        <v>9</v>
      </c>
      <c r="B2" t="s">
        <v>61</v>
      </c>
    </row>
    <row r="4" spans="1:20" x14ac:dyDescent="0.35">
      <c r="A4" s="4" t="s">
        <v>71</v>
      </c>
      <c r="B4" s="4" t="s">
        <v>72</v>
      </c>
    </row>
    <row r="5" spans="1:20" x14ac:dyDescent="0.35"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47</v>
      </c>
      <c r="K5" t="s">
        <v>73</v>
      </c>
      <c r="L5" t="s">
        <v>48</v>
      </c>
      <c r="Q5" t="s">
        <v>74</v>
      </c>
      <c r="R5" t="s">
        <v>49</v>
      </c>
      <c r="S5" t="s">
        <v>75</v>
      </c>
      <c r="T5" t="s">
        <v>76</v>
      </c>
    </row>
    <row r="6" spans="1:20" x14ac:dyDescent="0.35">
      <c r="G6" t="s">
        <v>77</v>
      </c>
      <c r="H6" t="s">
        <v>78</v>
      </c>
      <c r="I6" t="s">
        <v>79</v>
      </c>
      <c r="J6" t="s">
        <v>80</v>
      </c>
      <c r="L6" t="s">
        <v>81</v>
      </c>
      <c r="M6" t="s">
        <v>82</v>
      </c>
      <c r="N6" t="s">
        <v>83</v>
      </c>
      <c r="O6" t="s">
        <v>84</v>
      </c>
      <c r="P6" t="s">
        <v>85</v>
      </c>
      <c r="R6" t="s">
        <v>86</v>
      </c>
    </row>
    <row r="7" spans="1:20" x14ac:dyDescent="0.35">
      <c r="A7" s="4" t="s">
        <v>87</v>
      </c>
    </row>
    <row r="8" spans="1:20" x14ac:dyDescent="0.35">
      <c r="A8" s="3" t="s">
        <v>88</v>
      </c>
      <c r="C8">
        <v>80</v>
      </c>
      <c r="T8">
        <v>80</v>
      </c>
    </row>
    <row r="9" spans="1:20" x14ac:dyDescent="0.35">
      <c r="A9" s="3" t="s">
        <v>89</v>
      </c>
      <c r="D9">
        <v>32</v>
      </c>
      <c r="E9">
        <v>32</v>
      </c>
      <c r="F9">
        <v>16</v>
      </c>
      <c r="T9">
        <v>80</v>
      </c>
    </row>
    <row r="10" spans="1:20" x14ac:dyDescent="0.35">
      <c r="A10" s="3" t="s">
        <v>90</v>
      </c>
      <c r="B10">
        <v>32</v>
      </c>
      <c r="C10">
        <v>160</v>
      </c>
      <c r="D10">
        <v>64</v>
      </c>
      <c r="E10">
        <v>64</v>
      </c>
      <c r="F10">
        <v>68</v>
      </c>
      <c r="T10">
        <v>388</v>
      </c>
    </row>
    <row r="11" spans="1:20" x14ac:dyDescent="0.35">
      <c r="A11" s="3" t="s">
        <v>91</v>
      </c>
      <c r="B11">
        <v>32</v>
      </c>
      <c r="C11">
        <v>160</v>
      </c>
      <c r="D11">
        <v>112</v>
      </c>
      <c r="E11">
        <v>112</v>
      </c>
      <c r="F11">
        <v>28</v>
      </c>
      <c r="T11">
        <v>444</v>
      </c>
    </row>
    <row r="12" spans="1:20" x14ac:dyDescent="0.35">
      <c r="A12" s="3" t="s">
        <v>92</v>
      </c>
      <c r="B12">
        <v>24</v>
      </c>
      <c r="C12">
        <v>112</v>
      </c>
      <c r="T12">
        <v>136</v>
      </c>
    </row>
    <row r="13" spans="1:20" x14ac:dyDescent="0.35">
      <c r="A13" s="3" t="s">
        <v>93</v>
      </c>
      <c r="G13">
        <v>24</v>
      </c>
      <c r="H13">
        <v>40</v>
      </c>
      <c r="I13">
        <v>40</v>
      </c>
      <c r="J13">
        <v>40</v>
      </c>
      <c r="K13">
        <v>144</v>
      </c>
      <c r="L13">
        <v>32</v>
      </c>
      <c r="M13">
        <v>32</v>
      </c>
      <c r="N13">
        <v>40</v>
      </c>
      <c r="O13">
        <v>40</v>
      </c>
      <c r="P13">
        <v>40</v>
      </c>
      <c r="Q13">
        <v>184</v>
      </c>
      <c r="T13">
        <v>328</v>
      </c>
    </row>
    <row r="14" spans="1:20" x14ac:dyDescent="0.35">
      <c r="A14" s="3" t="s">
        <v>94</v>
      </c>
      <c r="B14">
        <v>12</v>
      </c>
      <c r="C14">
        <v>48</v>
      </c>
      <c r="T14">
        <v>60</v>
      </c>
    </row>
    <row r="15" spans="1:20" x14ac:dyDescent="0.35">
      <c r="A15" s="3" t="s">
        <v>95</v>
      </c>
      <c r="F15">
        <v>28</v>
      </c>
      <c r="G15">
        <v>28</v>
      </c>
      <c r="H15">
        <v>28</v>
      </c>
      <c r="I15">
        <v>28</v>
      </c>
      <c r="J15">
        <v>28</v>
      </c>
      <c r="K15">
        <v>112</v>
      </c>
      <c r="L15">
        <v>28</v>
      </c>
      <c r="M15">
        <v>28</v>
      </c>
      <c r="N15">
        <v>28</v>
      </c>
      <c r="O15">
        <v>28</v>
      </c>
      <c r="P15">
        <v>28</v>
      </c>
      <c r="Q15">
        <v>140</v>
      </c>
      <c r="T15">
        <v>280</v>
      </c>
    </row>
    <row r="16" spans="1:20" x14ac:dyDescent="0.35">
      <c r="A16" s="3" t="s">
        <v>96</v>
      </c>
      <c r="C16">
        <v>80</v>
      </c>
      <c r="D16">
        <v>28</v>
      </c>
      <c r="E16">
        <v>76</v>
      </c>
      <c r="F16">
        <v>100</v>
      </c>
      <c r="G16">
        <v>20</v>
      </c>
      <c r="H16">
        <v>12</v>
      </c>
      <c r="I16">
        <v>20</v>
      </c>
      <c r="J16">
        <v>20</v>
      </c>
      <c r="K16">
        <v>72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100</v>
      </c>
      <c r="R16">
        <v>8</v>
      </c>
      <c r="S16">
        <v>8</v>
      </c>
      <c r="T16">
        <v>464</v>
      </c>
    </row>
    <row r="17" spans="1:20" x14ac:dyDescent="0.35">
      <c r="A17" s="3" t="s">
        <v>97</v>
      </c>
      <c r="B17">
        <v>32</v>
      </c>
      <c r="C17">
        <v>160</v>
      </c>
      <c r="D17">
        <v>96</v>
      </c>
      <c r="E17">
        <v>96</v>
      </c>
      <c r="F17">
        <v>120</v>
      </c>
      <c r="G17">
        <v>32</v>
      </c>
      <c r="H17">
        <v>32</v>
      </c>
      <c r="I17">
        <v>32</v>
      </c>
      <c r="J17">
        <v>32</v>
      </c>
      <c r="K17">
        <v>128</v>
      </c>
      <c r="L17">
        <v>32</v>
      </c>
      <c r="M17">
        <v>32</v>
      </c>
      <c r="N17">
        <v>32</v>
      </c>
      <c r="O17">
        <v>32</v>
      </c>
      <c r="P17">
        <v>32</v>
      </c>
      <c r="Q17">
        <v>160</v>
      </c>
      <c r="T17">
        <v>792</v>
      </c>
    </row>
    <row r="18" spans="1:20" x14ac:dyDescent="0.35">
      <c r="A18" s="3" t="s">
        <v>98</v>
      </c>
      <c r="C18">
        <v>40</v>
      </c>
      <c r="T18">
        <v>40</v>
      </c>
    </row>
    <row r="19" spans="1:20" x14ac:dyDescent="0.35">
      <c r="A19" s="3" t="s">
        <v>99</v>
      </c>
      <c r="C19">
        <v>48</v>
      </c>
      <c r="T19">
        <v>48</v>
      </c>
    </row>
    <row r="20" spans="1:20" x14ac:dyDescent="0.35">
      <c r="A20" s="3" t="s">
        <v>100</v>
      </c>
      <c r="C20">
        <v>80</v>
      </c>
      <c r="T20">
        <v>80</v>
      </c>
    </row>
    <row r="21" spans="1:20" x14ac:dyDescent="0.35">
      <c r="A21" s="3" t="s">
        <v>101</v>
      </c>
      <c r="C21">
        <v>80</v>
      </c>
      <c r="T21">
        <v>80</v>
      </c>
    </row>
    <row r="22" spans="1:20" x14ac:dyDescent="0.35">
      <c r="A22" s="3" t="s">
        <v>102</v>
      </c>
      <c r="D22">
        <v>48</v>
      </c>
      <c r="T22">
        <v>48</v>
      </c>
    </row>
    <row r="23" spans="1:20" x14ac:dyDescent="0.35">
      <c r="A23" s="3" t="s">
        <v>103</v>
      </c>
      <c r="H23">
        <v>20</v>
      </c>
      <c r="I23">
        <v>20</v>
      </c>
      <c r="K23">
        <v>40</v>
      </c>
      <c r="T23">
        <v>40</v>
      </c>
    </row>
    <row r="24" spans="1:20" x14ac:dyDescent="0.35">
      <c r="A24" s="3" t="s">
        <v>104</v>
      </c>
      <c r="B24">
        <v>32</v>
      </c>
      <c r="C24">
        <v>160</v>
      </c>
      <c r="D24">
        <v>80</v>
      </c>
      <c r="E24">
        <v>80</v>
      </c>
      <c r="F24">
        <v>100</v>
      </c>
      <c r="G24">
        <v>20</v>
      </c>
      <c r="H24">
        <v>20</v>
      </c>
      <c r="I24">
        <v>20</v>
      </c>
      <c r="J24">
        <v>20</v>
      </c>
      <c r="K24">
        <v>80</v>
      </c>
      <c r="L24">
        <v>20</v>
      </c>
      <c r="M24">
        <v>20</v>
      </c>
      <c r="N24">
        <v>20</v>
      </c>
      <c r="O24">
        <v>20</v>
      </c>
      <c r="P24">
        <v>20</v>
      </c>
      <c r="Q24">
        <v>100</v>
      </c>
      <c r="T24">
        <v>632</v>
      </c>
    </row>
    <row r="25" spans="1:20" x14ac:dyDescent="0.35">
      <c r="A25" s="3" t="s">
        <v>105</v>
      </c>
      <c r="G25">
        <v>8</v>
      </c>
      <c r="H25">
        <v>8</v>
      </c>
      <c r="I25">
        <v>8</v>
      </c>
      <c r="J25">
        <v>8</v>
      </c>
      <c r="K25">
        <v>32</v>
      </c>
      <c r="L25">
        <v>8</v>
      </c>
      <c r="M25">
        <v>8</v>
      </c>
      <c r="N25">
        <v>8</v>
      </c>
      <c r="O25">
        <v>8</v>
      </c>
      <c r="Q25">
        <v>32</v>
      </c>
      <c r="T25">
        <v>64</v>
      </c>
    </row>
    <row r="26" spans="1:20" x14ac:dyDescent="0.35">
      <c r="A26" s="3" t="s">
        <v>106</v>
      </c>
      <c r="D26">
        <v>32</v>
      </c>
      <c r="E26">
        <v>32</v>
      </c>
      <c r="F26">
        <v>16</v>
      </c>
      <c r="T26">
        <v>80</v>
      </c>
    </row>
    <row r="27" spans="1:20" x14ac:dyDescent="0.35">
      <c r="A27" s="3" t="s">
        <v>107</v>
      </c>
      <c r="E27">
        <v>40</v>
      </c>
      <c r="F27">
        <v>192</v>
      </c>
      <c r="G27">
        <v>40</v>
      </c>
      <c r="H27">
        <v>40</v>
      </c>
      <c r="I27">
        <v>40</v>
      </c>
      <c r="J27">
        <v>40</v>
      </c>
      <c r="K27">
        <v>160</v>
      </c>
      <c r="L27">
        <v>40</v>
      </c>
      <c r="M27">
        <v>40</v>
      </c>
      <c r="N27">
        <v>40</v>
      </c>
      <c r="O27">
        <v>40</v>
      </c>
      <c r="P27">
        <v>40</v>
      </c>
      <c r="Q27">
        <v>200</v>
      </c>
      <c r="T27">
        <v>592</v>
      </c>
    </row>
    <row r="28" spans="1:20" x14ac:dyDescent="0.35">
      <c r="A28" s="3" t="s">
        <v>108</v>
      </c>
      <c r="B28">
        <v>32</v>
      </c>
      <c r="C28">
        <v>112</v>
      </c>
      <c r="T28">
        <v>144</v>
      </c>
    </row>
    <row r="29" spans="1:20" x14ac:dyDescent="0.35">
      <c r="A29" s="3" t="s">
        <v>109</v>
      </c>
      <c r="B29">
        <v>32</v>
      </c>
      <c r="C29">
        <v>160</v>
      </c>
      <c r="T29">
        <v>192</v>
      </c>
    </row>
    <row r="30" spans="1:20" x14ac:dyDescent="0.35">
      <c r="A30" s="3" t="s">
        <v>110</v>
      </c>
      <c r="C30">
        <v>135.9</v>
      </c>
      <c r="T30">
        <v>135.9</v>
      </c>
    </row>
    <row r="31" spans="1:20" x14ac:dyDescent="0.35">
      <c r="A31" s="3" t="s">
        <v>111</v>
      </c>
      <c r="B31">
        <v>32</v>
      </c>
      <c r="C31">
        <v>160</v>
      </c>
      <c r="D31">
        <v>28</v>
      </c>
      <c r="T31">
        <v>220</v>
      </c>
    </row>
    <row r="32" spans="1:20" x14ac:dyDescent="0.35">
      <c r="A32" s="3" t="s">
        <v>112</v>
      </c>
      <c r="D32">
        <v>56</v>
      </c>
      <c r="E32">
        <v>56</v>
      </c>
      <c r="F32">
        <v>60</v>
      </c>
      <c r="T32">
        <v>172</v>
      </c>
    </row>
    <row r="33" spans="1:20" x14ac:dyDescent="0.35">
      <c r="A33" s="3" t="s">
        <v>113</v>
      </c>
      <c r="C33">
        <v>80</v>
      </c>
      <c r="T33">
        <v>80</v>
      </c>
    </row>
    <row r="34" spans="1:20" x14ac:dyDescent="0.35">
      <c r="A34" s="3" t="s">
        <v>114</v>
      </c>
      <c r="B34">
        <v>16</v>
      </c>
      <c r="C34">
        <v>120</v>
      </c>
      <c r="T34">
        <v>136</v>
      </c>
    </row>
    <row r="35" spans="1:20" x14ac:dyDescent="0.35">
      <c r="A35" s="3" t="s">
        <v>115</v>
      </c>
      <c r="D35">
        <v>80</v>
      </c>
      <c r="E35">
        <v>152</v>
      </c>
      <c r="F35">
        <v>200</v>
      </c>
      <c r="G35">
        <v>32</v>
      </c>
      <c r="H35">
        <v>40</v>
      </c>
      <c r="I35">
        <v>40</v>
      </c>
      <c r="J35">
        <v>40</v>
      </c>
      <c r="K35">
        <v>152</v>
      </c>
      <c r="L35">
        <v>40</v>
      </c>
      <c r="M35">
        <v>40</v>
      </c>
      <c r="N35">
        <v>40</v>
      </c>
      <c r="O35">
        <v>40</v>
      </c>
      <c r="P35">
        <v>40</v>
      </c>
      <c r="Q35">
        <v>200</v>
      </c>
      <c r="R35">
        <v>16</v>
      </c>
      <c r="S35">
        <v>16</v>
      </c>
      <c r="T35">
        <v>800</v>
      </c>
    </row>
    <row r="36" spans="1:20" x14ac:dyDescent="0.35">
      <c r="A36" s="3" t="s">
        <v>116</v>
      </c>
      <c r="C36">
        <v>40</v>
      </c>
      <c r="T36">
        <v>40</v>
      </c>
    </row>
    <row r="37" spans="1:20" x14ac:dyDescent="0.35">
      <c r="A37" s="3" t="s">
        <v>76</v>
      </c>
      <c r="B37">
        <v>276</v>
      </c>
      <c r="C37">
        <v>2015.9</v>
      </c>
      <c r="D37">
        <v>656</v>
      </c>
      <c r="E37">
        <v>740</v>
      </c>
      <c r="F37">
        <v>928</v>
      </c>
      <c r="G37">
        <v>204</v>
      </c>
      <c r="H37">
        <v>240</v>
      </c>
      <c r="I37">
        <v>248</v>
      </c>
      <c r="J37">
        <v>228</v>
      </c>
      <c r="K37">
        <v>920</v>
      </c>
      <c r="L37">
        <v>220</v>
      </c>
      <c r="M37">
        <v>220</v>
      </c>
      <c r="N37">
        <v>228</v>
      </c>
      <c r="O37">
        <v>228</v>
      </c>
      <c r="P37">
        <v>220</v>
      </c>
      <c r="Q37">
        <v>1116</v>
      </c>
      <c r="R37">
        <v>24</v>
      </c>
      <c r="S37">
        <v>24</v>
      </c>
      <c r="T37">
        <v>6675.9</v>
      </c>
    </row>
    <row r="40" spans="1:20" x14ac:dyDescent="0.35">
      <c r="A40" s="19" t="s">
        <v>9</v>
      </c>
      <c r="B40" s="19" t="s">
        <v>63</v>
      </c>
    </row>
    <row r="42" spans="1:20" x14ac:dyDescent="0.35">
      <c r="A42" s="22" t="s">
        <v>71</v>
      </c>
      <c r="B42" s="22" t="s">
        <v>72</v>
      </c>
      <c r="C42" s="22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</row>
    <row r="43" spans="1:20" x14ac:dyDescent="0.35">
      <c r="A43" s="20"/>
      <c r="B43" s="20" t="s">
        <v>117</v>
      </c>
      <c r="C43" s="20" t="s">
        <v>56</v>
      </c>
      <c r="D43" s="20"/>
      <c r="E43" s="20"/>
      <c r="F43" s="20"/>
      <c r="G43" s="20" t="s">
        <v>118</v>
      </c>
      <c r="H43" s="20" t="s">
        <v>57</v>
      </c>
      <c r="I43" s="20"/>
      <c r="J43" s="20"/>
      <c r="K43" s="20"/>
      <c r="L43" s="20" t="s">
        <v>119</v>
      </c>
      <c r="M43" s="20" t="s">
        <v>58</v>
      </c>
      <c r="N43" s="20"/>
      <c r="O43" s="20"/>
      <c r="P43" s="20"/>
      <c r="Q43" s="20" t="s">
        <v>120</v>
      </c>
      <c r="R43" s="20" t="s">
        <v>76</v>
      </c>
    </row>
    <row r="44" spans="1:20" x14ac:dyDescent="0.35">
      <c r="A44" s="22" t="s">
        <v>87</v>
      </c>
      <c r="B44" s="20"/>
      <c r="C44" s="20" t="s">
        <v>121</v>
      </c>
      <c r="D44" s="20" t="s">
        <v>122</v>
      </c>
      <c r="E44" s="20" t="s">
        <v>123</v>
      </c>
      <c r="F44" s="20" t="s">
        <v>124</v>
      </c>
      <c r="G44" s="20"/>
      <c r="H44" s="20" t="s">
        <v>125</v>
      </c>
      <c r="I44" s="20" t="s">
        <v>126</v>
      </c>
      <c r="J44" s="20" t="s">
        <v>127</v>
      </c>
      <c r="K44" s="20" t="s">
        <v>128</v>
      </c>
      <c r="L44" s="20"/>
      <c r="M44" s="20" t="s">
        <v>129</v>
      </c>
      <c r="N44" s="20" t="s">
        <v>130</v>
      </c>
      <c r="O44" s="20" t="s">
        <v>131</v>
      </c>
      <c r="P44" s="20" t="s">
        <v>132</v>
      </c>
      <c r="Q44" s="20"/>
      <c r="R44" s="20"/>
    </row>
    <row r="45" spans="1:20" x14ac:dyDescent="0.35">
      <c r="A45" s="21" t="s">
        <v>133</v>
      </c>
      <c r="B45" s="20"/>
      <c r="C45" s="20">
        <v>16</v>
      </c>
      <c r="D45" s="20">
        <v>40</v>
      </c>
      <c r="E45" s="20">
        <v>40</v>
      </c>
      <c r="F45" s="20">
        <v>40</v>
      </c>
      <c r="G45" s="20">
        <v>136</v>
      </c>
      <c r="H45" s="20">
        <v>40</v>
      </c>
      <c r="I45" s="20"/>
      <c r="J45" s="20"/>
      <c r="K45" s="20"/>
      <c r="L45" s="20">
        <v>40</v>
      </c>
      <c r="M45" s="20"/>
      <c r="N45" s="20">
        <v>40</v>
      </c>
      <c r="O45" s="20">
        <v>80</v>
      </c>
      <c r="P45" s="20"/>
      <c r="Q45" s="20">
        <v>120</v>
      </c>
      <c r="R45" s="20">
        <v>296</v>
      </c>
    </row>
    <row r="46" spans="1:20" x14ac:dyDescent="0.35">
      <c r="A46" s="21" t="s">
        <v>89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>
        <v>28</v>
      </c>
      <c r="O46" s="20">
        <v>80</v>
      </c>
      <c r="P46" s="20"/>
      <c r="Q46" s="20">
        <v>108</v>
      </c>
      <c r="R46" s="20">
        <v>108</v>
      </c>
    </row>
    <row r="47" spans="1:20" x14ac:dyDescent="0.35">
      <c r="A47" s="21" t="s">
        <v>134</v>
      </c>
      <c r="B47" s="20"/>
      <c r="C47" s="20"/>
      <c r="D47" s="20"/>
      <c r="E47" s="20"/>
      <c r="F47" s="20"/>
      <c r="G47" s="20"/>
      <c r="H47" s="20">
        <v>40</v>
      </c>
      <c r="I47" s="20">
        <v>32</v>
      </c>
      <c r="J47" s="20">
        <v>32</v>
      </c>
      <c r="K47" s="20">
        <v>24</v>
      </c>
      <c r="L47" s="20">
        <v>128</v>
      </c>
      <c r="M47" s="20">
        <v>40</v>
      </c>
      <c r="N47" s="20">
        <v>24</v>
      </c>
      <c r="O47" s="20">
        <v>40</v>
      </c>
      <c r="P47" s="20"/>
      <c r="Q47" s="20">
        <v>104</v>
      </c>
      <c r="R47" s="20">
        <v>232</v>
      </c>
    </row>
    <row r="48" spans="1:20" x14ac:dyDescent="0.35">
      <c r="A48" s="21" t="s">
        <v>135</v>
      </c>
      <c r="B48" s="20"/>
      <c r="C48" s="20"/>
      <c r="D48" s="20"/>
      <c r="E48" s="20"/>
      <c r="F48" s="20"/>
      <c r="G48" s="20"/>
      <c r="H48" s="20"/>
      <c r="I48" s="20">
        <v>40</v>
      </c>
      <c r="J48" s="20">
        <v>48</v>
      </c>
      <c r="K48" s="20"/>
      <c r="L48" s="20">
        <v>88</v>
      </c>
      <c r="M48" s="20"/>
      <c r="N48" s="20"/>
      <c r="O48" s="20"/>
      <c r="P48" s="20"/>
      <c r="Q48" s="20"/>
      <c r="R48" s="20">
        <v>88</v>
      </c>
    </row>
    <row r="49" spans="1:18" x14ac:dyDescent="0.35">
      <c r="A49" s="21" t="s">
        <v>95</v>
      </c>
      <c r="B49" s="20"/>
      <c r="C49" s="20"/>
      <c r="D49" s="20"/>
      <c r="E49" s="20"/>
      <c r="F49" s="20">
        <v>32</v>
      </c>
      <c r="G49" s="20">
        <v>32</v>
      </c>
      <c r="H49" s="20">
        <v>32</v>
      </c>
      <c r="I49" s="20"/>
      <c r="J49" s="20">
        <v>32</v>
      </c>
      <c r="K49" s="20">
        <v>32</v>
      </c>
      <c r="L49" s="20">
        <v>96</v>
      </c>
      <c r="M49" s="20">
        <v>40</v>
      </c>
      <c r="N49" s="20">
        <v>40</v>
      </c>
      <c r="O49" s="20">
        <v>80</v>
      </c>
      <c r="P49" s="20"/>
      <c r="Q49" s="20">
        <v>160</v>
      </c>
      <c r="R49" s="20">
        <v>288</v>
      </c>
    </row>
    <row r="50" spans="1:18" x14ac:dyDescent="0.35">
      <c r="A50" s="21" t="s">
        <v>98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>
        <v>48</v>
      </c>
      <c r="P50" s="20"/>
      <c r="Q50" s="20">
        <v>48</v>
      </c>
      <c r="R50" s="20">
        <v>48</v>
      </c>
    </row>
    <row r="51" spans="1:18" x14ac:dyDescent="0.35">
      <c r="A51" s="21" t="s">
        <v>136</v>
      </c>
      <c r="B51" s="20"/>
      <c r="C51" s="20">
        <v>16</v>
      </c>
      <c r="D51" s="20">
        <v>16</v>
      </c>
      <c r="E51" s="20">
        <v>24</v>
      </c>
      <c r="F51" s="20"/>
      <c r="G51" s="20">
        <v>56</v>
      </c>
      <c r="H51" s="20">
        <v>40</v>
      </c>
      <c r="I51" s="20">
        <v>24</v>
      </c>
      <c r="J51" s="20">
        <v>24</v>
      </c>
      <c r="K51" s="20">
        <v>24</v>
      </c>
      <c r="L51" s="20">
        <v>112</v>
      </c>
      <c r="M51" s="20">
        <v>40</v>
      </c>
      <c r="N51" s="20">
        <v>80</v>
      </c>
      <c r="O51" s="20">
        <v>80</v>
      </c>
      <c r="P51" s="20"/>
      <c r="Q51" s="20">
        <v>200</v>
      </c>
      <c r="R51" s="20">
        <v>368</v>
      </c>
    </row>
    <row r="52" spans="1:18" x14ac:dyDescent="0.35">
      <c r="A52" s="21" t="s">
        <v>137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>
        <v>80</v>
      </c>
      <c r="O52" s="20">
        <v>64</v>
      </c>
      <c r="P52" s="20">
        <v>16</v>
      </c>
      <c r="Q52" s="20">
        <v>160</v>
      </c>
      <c r="R52" s="20">
        <v>160</v>
      </c>
    </row>
    <row r="53" spans="1:18" x14ac:dyDescent="0.35">
      <c r="A53" s="21" t="s">
        <v>138</v>
      </c>
      <c r="B53" s="20"/>
      <c r="C53" s="20"/>
      <c r="D53" s="20"/>
      <c r="E53" s="20"/>
      <c r="F53" s="20"/>
      <c r="G53" s="20"/>
      <c r="H53" s="20"/>
      <c r="I53" s="20"/>
      <c r="J53" s="20">
        <v>40</v>
      </c>
      <c r="K53" s="20">
        <v>72</v>
      </c>
      <c r="L53" s="20">
        <v>112</v>
      </c>
      <c r="M53" s="20">
        <v>80</v>
      </c>
      <c r="N53" s="20">
        <v>24</v>
      </c>
      <c r="O53" s="20">
        <v>24</v>
      </c>
      <c r="P53" s="20"/>
      <c r="Q53" s="20">
        <v>128</v>
      </c>
      <c r="R53" s="20">
        <v>240</v>
      </c>
    </row>
    <row r="54" spans="1:18" x14ac:dyDescent="0.35">
      <c r="A54" s="21" t="s">
        <v>102</v>
      </c>
      <c r="B54" s="20"/>
      <c r="C54" s="20"/>
      <c r="D54" s="20"/>
      <c r="E54" s="20"/>
      <c r="F54" s="20">
        <v>24</v>
      </c>
      <c r="G54" s="20">
        <v>24</v>
      </c>
      <c r="H54" s="20">
        <v>24</v>
      </c>
      <c r="I54" s="20">
        <v>36</v>
      </c>
      <c r="J54" s="20">
        <v>36</v>
      </c>
      <c r="K54" s="20">
        <v>36</v>
      </c>
      <c r="L54" s="20">
        <v>132</v>
      </c>
      <c r="M54" s="20">
        <v>36</v>
      </c>
      <c r="N54" s="20">
        <v>36</v>
      </c>
      <c r="O54" s="20">
        <v>36</v>
      </c>
      <c r="P54" s="20"/>
      <c r="Q54" s="20">
        <v>108</v>
      </c>
      <c r="R54" s="20">
        <v>264</v>
      </c>
    </row>
    <row r="55" spans="1:18" x14ac:dyDescent="0.35">
      <c r="A55" s="21" t="s">
        <v>139</v>
      </c>
      <c r="B55" s="20"/>
      <c r="C55" s="20"/>
      <c r="D55" s="20"/>
      <c r="E55" s="20"/>
      <c r="F55" s="20">
        <v>32</v>
      </c>
      <c r="G55" s="20">
        <v>32</v>
      </c>
      <c r="H55" s="20">
        <v>32</v>
      </c>
      <c r="I55" s="20"/>
      <c r="J55" s="20">
        <v>32</v>
      </c>
      <c r="K55" s="20">
        <v>32</v>
      </c>
      <c r="L55" s="20">
        <v>96</v>
      </c>
      <c r="M55" s="20">
        <v>32</v>
      </c>
      <c r="N55" s="20">
        <v>32</v>
      </c>
      <c r="O55" s="20">
        <v>80</v>
      </c>
      <c r="P55" s="20"/>
      <c r="Q55" s="20">
        <v>144</v>
      </c>
      <c r="R55" s="20">
        <v>272</v>
      </c>
    </row>
    <row r="56" spans="1:18" x14ac:dyDescent="0.35">
      <c r="A56" s="21" t="s">
        <v>140</v>
      </c>
      <c r="B56" s="20"/>
      <c r="C56" s="20"/>
      <c r="D56" s="20"/>
      <c r="E56" s="20"/>
      <c r="F56" s="20">
        <v>32</v>
      </c>
      <c r="G56" s="20">
        <v>32</v>
      </c>
      <c r="H56" s="20">
        <v>32</v>
      </c>
      <c r="I56" s="20">
        <v>32</v>
      </c>
      <c r="J56" s="20">
        <v>48</v>
      </c>
      <c r="K56" s="20">
        <v>40</v>
      </c>
      <c r="L56" s="20">
        <v>152</v>
      </c>
      <c r="M56" s="20">
        <v>48</v>
      </c>
      <c r="N56" s="20">
        <v>40</v>
      </c>
      <c r="O56" s="20">
        <v>40</v>
      </c>
      <c r="P56" s="20"/>
      <c r="Q56" s="20">
        <v>128</v>
      </c>
      <c r="R56" s="20">
        <v>312</v>
      </c>
    </row>
    <row r="57" spans="1:18" x14ac:dyDescent="0.35">
      <c r="A57" s="21" t="s">
        <v>141</v>
      </c>
      <c r="B57" s="20"/>
      <c r="C57" s="20"/>
      <c r="D57" s="20"/>
      <c r="E57" s="20"/>
      <c r="F57" s="20">
        <v>24</v>
      </c>
      <c r="G57" s="20">
        <v>24</v>
      </c>
      <c r="H57" s="20">
        <v>40</v>
      </c>
      <c r="I57" s="20">
        <v>50</v>
      </c>
      <c r="J57" s="20">
        <v>40</v>
      </c>
      <c r="K57" s="20">
        <v>46</v>
      </c>
      <c r="L57" s="20">
        <v>176</v>
      </c>
      <c r="M57" s="20">
        <v>40</v>
      </c>
      <c r="N57" s="20"/>
      <c r="O57" s="20">
        <v>8</v>
      </c>
      <c r="P57" s="20"/>
      <c r="Q57" s="20">
        <v>48</v>
      </c>
      <c r="R57" s="20">
        <v>248</v>
      </c>
    </row>
    <row r="58" spans="1:18" x14ac:dyDescent="0.35">
      <c r="A58" s="21" t="s">
        <v>142</v>
      </c>
      <c r="B58" s="20"/>
      <c r="C58" s="20"/>
      <c r="D58" s="20"/>
      <c r="E58" s="20"/>
      <c r="F58" s="20"/>
      <c r="G58" s="20"/>
      <c r="H58" s="20">
        <v>40</v>
      </c>
      <c r="I58" s="20">
        <v>40</v>
      </c>
      <c r="J58" s="20"/>
      <c r="K58" s="20">
        <v>32</v>
      </c>
      <c r="L58" s="20">
        <v>112</v>
      </c>
      <c r="M58" s="20"/>
      <c r="N58" s="20">
        <v>8</v>
      </c>
      <c r="O58" s="20"/>
      <c r="P58" s="20"/>
      <c r="Q58" s="20">
        <v>8</v>
      </c>
      <c r="R58" s="20">
        <v>120</v>
      </c>
    </row>
    <row r="59" spans="1:18" x14ac:dyDescent="0.35">
      <c r="A59" s="21" t="s">
        <v>143</v>
      </c>
      <c r="B59" s="20"/>
      <c r="C59" s="20"/>
      <c r="D59" s="20"/>
      <c r="E59" s="20"/>
      <c r="F59" s="20"/>
      <c r="G59" s="20"/>
      <c r="H59" s="20">
        <v>24</v>
      </c>
      <c r="I59" s="20">
        <v>24</v>
      </c>
      <c r="J59" s="20">
        <v>24</v>
      </c>
      <c r="K59" s="20">
        <v>24</v>
      </c>
      <c r="L59" s="20">
        <v>96</v>
      </c>
      <c r="M59" s="20">
        <v>24</v>
      </c>
      <c r="N59" s="20">
        <v>80</v>
      </c>
      <c r="O59" s="20">
        <v>80</v>
      </c>
      <c r="P59" s="20"/>
      <c r="Q59" s="20">
        <v>184</v>
      </c>
      <c r="R59" s="20">
        <v>280</v>
      </c>
    </row>
    <row r="60" spans="1:18" x14ac:dyDescent="0.35">
      <c r="A60" s="21" t="s">
        <v>144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>
        <v>32</v>
      </c>
      <c r="O60" s="20"/>
      <c r="P60" s="20"/>
      <c r="Q60" s="20">
        <v>32</v>
      </c>
      <c r="R60" s="20">
        <v>32</v>
      </c>
    </row>
    <row r="61" spans="1:18" x14ac:dyDescent="0.35">
      <c r="A61" s="21" t="s">
        <v>116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>
        <v>48</v>
      </c>
      <c r="P61" s="20"/>
      <c r="Q61" s="20">
        <v>48</v>
      </c>
      <c r="R61" s="20">
        <v>48</v>
      </c>
    </row>
    <row r="62" spans="1:18" x14ac:dyDescent="0.35">
      <c r="A62" s="21" t="s">
        <v>145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spans="1:18" x14ac:dyDescent="0.35">
      <c r="A63" s="21" t="s">
        <v>76</v>
      </c>
      <c r="B63" s="20"/>
      <c r="C63" s="20">
        <v>32</v>
      </c>
      <c r="D63" s="20">
        <v>56</v>
      </c>
      <c r="E63" s="20">
        <v>64</v>
      </c>
      <c r="F63" s="20">
        <v>184</v>
      </c>
      <c r="G63" s="20">
        <v>336</v>
      </c>
      <c r="H63" s="20">
        <v>344</v>
      </c>
      <c r="I63" s="20">
        <v>278</v>
      </c>
      <c r="J63" s="20">
        <v>356</v>
      </c>
      <c r="K63" s="20">
        <v>362</v>
      </c>
      <c r="L63" s="20">
        <v>1340</v>
      </c>
      <c r="M63" s="20">
        <v>380</v>
      </c>
      <c r="N63" s="20">
        <v>544</v>
      </c>
      <c r="O63" s="20">
        <v>788</v>
      </c>
      <c r="P63" s="20">
        <v>16</v>
      </c>
      <c r="Q63" s="20">
        <v>1728</v>
      </c>
      <c r="R63" s="20">
        <v>3404</v>
      </c>
    </row>
    <row r="69" spans="1:9" x14ac:dyDescent="0.35">
      <c r="A69" s="4" t="s">
        <v>9</v>
      </c>
      <c r="B69" t="s">
        <v>66</v>
      </c>
    </row>
    <row r="71" spans="1:9" x14ac:dyDescent="0.35">
      <c r="A71" s="4" t="s">
        <v>71</v>
      </c>
      <c r="B71" s="4" t="s">
        <v>72</v>
      </c>
      <c r="C71" s="4"/>
      <c r="D71" s="4"/>
    </row>
    <row r="72" spans="1:9" x14ac:dyDescent="0.35">
      <c r="B72" t="s">
        <v>58</v>
      </c>
      <c r="F72" t="s">
        <v>120</v>
      </c>
      <c r="G72" t="s">
        <v>47</v>
      </c>
      <c r="H72" t="s">
        <v>48</v>
      </c>
      <c r="I72" t="s">
        <v>76</v>
      </c>
    </row>
    <row r="73" spans="1:9" x14ac:dyDescent="0.35">
      <c r="B73" t="s">
        <v>130</v>
      </c>
      <c r="C73" t="s">
        <v>131</v>
      </c>
      <c r="D73" t="s">
        <v>132</v>
      </c>
      <c r="E73" t="s">
        <v>146</v>
      </c>
    </row>
    <row r="74" spans="1:9" x14ac:dyDescent="0.35">
      <c r="A74" s="4" t="s">
        <v>87</v>
      </c>
    </row>
    <row r="75" spans="1:9" x14ac:dyDescent="0.35">
      <c r="A75" s="3" t="s">
        <v>147</v>
      </c>
      <c r="B75">
        <v>30</v>
      </c>
      <c r="C75">
        <v>80</v>
      </c>
      <c r="F75">
        <v>110</v>
      </c>
      <c r="I75">
        <v>110</v>
      </c>
    </row>
    <row r="76" spans="1:9" x14ac:dyDescent="0.35">
      <c r="A76" s="3" t="s">
        <v>148</v>
      </c>
      <c r="B76">
        <v>40</v>
      </c>
      <c r="C76">
        <v>40</v>
      </c>
      <c r="F76">
        <v>80</v>
      </c>
      <c r="I76">
        <v>80</v>
      </c>
    </row>
    <row r="77" spans="1:9" x14ac:dyDescent="0.35">
      <c r="A77" s="3" t="s">
        <v>91</v>
      </c>
      <c r="B77">
        <v>30</v>
      </c>
      <c r="C77">
        <v>80</v>
      </c>
      <c r="F77">
        <v>110</v>
      </c>
      <c r="I77">
        <v>110</v>
      </c>
    </row>
    <row r="78" spans="1:9" x14ac:dyDescent="0.35">
      <c r="A78" s="3" t="s">
        <v>149</v>
      </c>
      <c r="B78">
        <v>30</v>
      </c>
      <c r="C78">
        <v>40</v>
      </c>
      <c r="F78">
        <v>70</v>
      </c>
      <c r="I78">
        <v>70</v>
      </c>
    </row>
    <row r="79" spans="1:9" x14ac:dyDescent="0.35">
      <c r="A79" s="3" t="s">
        <v>150</v>
      </c>
      <c r="B79">
        <v>30</v>
      </c>
      <c r="C79">
        <v>80</v>
      </c>
      <c r="F79">
        <v>110</v>
      </c>
      <c r="I79">
        <v>110</v>
      </c>
    </row>
    <row r="80" spans="1:9" x14ac:dyDescent="0.35">
      <c r="A80" s="3" t="s">
        <v>95</v>
      </c>
      <c r="B80">
        <v>30</v>
      </c>
      <c r="F80">
        <v>30</v>
      </c>
      <c r="I80">
        <v>30</v>
      </c>
    </row>
    <row r="81" spans="1:9" x14ac:dyDescent="0.35">
      <c r="A81" s="3" t="s">
        <v>151</v>
      </c>
      <c r="B81">
        <v>30</v>
      </c>
      <c r="C81">
        <v>80</v>
      </c>
      <c r="F81">
        <v>110</v>
      </c>
      <c r="I81">
        <v>110</v>
      </c>
    </row>
    <row r="82" spans="1:9" x14ac:dyDescent="0.35">
      <c r="A82" s="3" t="s">
        <v>152</v>
      </c>
      <c r="B82">
        <v>80</v>
      </c>
      <c r="C82">
        <v>80</v>
      </c>
      <c r="F82">
        <v>160</v>
      </c>
      <c r="I82">
        <v>160</v>
      </c>
    </row>
    <row r="83" spans="1:9" x14ac:dyDescent="0.35">
      <c r="A83" s="3" t="s">
        <v>97</v>
      </c>
      <c r="B83">
        <v>32</v>
      </c>
      <c r="C83">
        <v>32</v>
      </c>
      <c r="F83">
        <v>64</v>
      </c>
      <c r="I83">
        <v>64</v>
      </c>
    </row>
    <row r="84" spans="1:9" x14ac:dyDescent="0.35">
      <c r="A84" s="3" t="s">
        <v>153</v>
      </c>
      <c r="B84">
        <v>80</v>
      </c>
      <c r="C84">
        <v>80</v>
      </c>
      <c r="F84">
        <v>160</v>
      </c>
      <c r="I84">
        <v>160</v>
      </c>
    </row>
    <row r="85" spans="1:9" x14ac:dyDescent="0.35">
      <c r="A85" s="3" t="s">
        <v>154</v>
      </c>
      <c r="B85">
        <v>80</v>
      </c>
      <c r="C85">
        <v>80</v>
      </c>
      <c r="F85">
        <v>160</v>
      </c>
      <c r="I85">
        <v>160</v>
      </c>
    </row>
    <row r="86" spans="1:9" x14ac:dyDescent="0.35">
      <c r="A86" s="3" t="s">
        <v>155</v>
      </c>
      <c r="B86">
        <v>80</v>
      </c>
      <c r="C86">
        <v>72</v>
      </c>
      <c r="F86">
        <v>152</v>
      </c>
      <c r="I86">
        <v>152</v>
      </c>
    </row>
    <row r="87" spans="1:9" x14ac:dyDescent="0.35">
      <c r="A87" s="3" t="s">
        <v>156</v>
      </c>
      <c r="B87">
        <v>80</v>
      </c>
      <c r="C87">
        <v>80</v>
      </c>
      <c r="F87">
        <v>160</v>
      </c>
      <c r="I87">
        <v>160</v>
      </c>
    </row>
    <row r="88" spans="1:9" x14ac:dyDescent="0.35">
      <c r="A88" s="3" t="s">
        <v>157</v>
      </c>
      <c r="B88">
        <v>80</v>
      </c>
      <c r="C88">
        <v>72</v>
      </c>
      <c r="F88">
        <v>152</v>
      </c>
      <c r="I88">
        <v>152</v>
      </c>
    </row>
    <row r="89" spans="1:9" x14ac:dyDescent="0.35">
      <c r="A89" s="3" t="s">
        <v>158</v>
      </c>
      <c r="B89">
        <v>80</v>
      </c>
      <c r="C89">
        <v>80</v>
      </c>
      <c r="F89">
        <v>160</v>
      </c>
      <c r="I89">
        <v>160</v>
      </c>
    </row>
    <row r="90" spans="1:9" x14ac:dyDescent="0.35">
      <c r="A90" s="3" t="s">
        <v>159</v>
      </c>
      <c r="C90">
        <v>40</v>
      </c>
      <c r="F90">
        <v>40</v>
      </c>
      <c r="I90">
        <v>40</v>
      </c>
    </row>
    <row r="91" spans="1:9" x14ac:dyDescent="0.35">
      <c r="A91" s="3" t="s">
        <v>160</v>
      </c>
      <c r="B91">
        <v>80</v>
      </c>
      <c r="C91">
        <v>80</v>
      </c>
      <c r="F91">
        <v>160</v>
      </c>
      <c r="I91">
        <v>160</v>
      </c>
    </row>
    <row r="92" spans="1:9" x14ac:dyDescent="0.35">
      <c r="A92" s="3" t="s">
        <v>161</v>
      </c>
      <c r="C92">
        <v>0</v>
      </c>
      <c r="D92">
        <v>0</v>
      </c>
      <c r="E92">
        <v>0</v>
      </c>
      <c r="F92">
        <v>0</v>
      </c>
      <c r="G92">
        <v>111.99999999999996</v>
      </c>
      <c r="H92">
        <v>143.99999999999994</v>
      </c>
      <c r="I92">
        <v>255.99999999999989</v>
      </c>
    </row>
    <row r="93" spans="1:9" x14ac:dyDescent="0.35">
      <c r="A93" s="3" t="s">
        <v>162</v>
      </c>
      <c r="B93">
        <v>80</v>
      </c>
      <c r="C93">
        <v>72</v>
      </c>
      <c r="F93">
        <v>152</v>
      </c>
      <c r="I93">
        <v>152</v>
      </c>
    </row>
    <row r="94" spans="1:9" x14ac:dyDescent="0.35">
      <c r="A94" s="3" t="s">
        <v>163</v>
      </c>
      <c r="C94">
        <v>40</v>
      </c>
      <c r="D94" s="73">
        <v>56</v>
      </c>
      <c r="E94" s="73">
        <v>56</v>
      </c>
      <c r="F94">
        <v>152</v>
      </c>
      <c r="G94">
        <v>74</v>
      </c>
      <c r="H94">
        <v>149.99999999999994</v>
      </c>
      <c r="I94">
        <v>375.99999999999994</v>
      </c>
    </row>
    <row r="95" spans="1:9" x14ac:dyDescent="0.35">
      <c r="A95" s="3" t="s">
        <v>112</v>
      </c>
      <c r="B95">
        <v>16</v>
      </c>
      <c r="C95">
        <v>12</v>
      </c>
      <c r="F95">
        <v>28</v>
      </c>
      <c r="I95">
        <v>28</v>
      </c>
    </row>
    <row r="96" spans="1:9" x14ac:dyDescent="0.35">
      <c r="A96" s="3" t="s">
        <v>164</v>
      </c>
      <c r="B96">
        <v>80</v>
      </c>
      <c r="C96">
        <v>80</v>
      </c>
      <c r="F96">
        <v>160</v>
      </c>
      <c r="I96">
        <v>160</v>
      </c>
    </row>
    <row r="97" spans="1:20" x14ac:dyDescent="0.35">
      <c r="A97" s="3" t="s">
        <v>165</v>
      </c>
      <c r="B97">
        <v>80</v>
      </c>
      <c r="C97">
        <v>80</v>
      </c>
      <c r="F97">
        <v>160</v>
      </c>
      <c r="I97">
        <v>160</v>
      </c>
    </row>
    <row r="98" spans="1:20" x14ac:dyDescent="0.35">
      <c r="A98" s="3" t="s">
        <v>166</v>
      </c>
      <c r="B98">
        <v>80</v>
      </c>
      <c r="C98">
        <v>72</v>
      </c>
      <c r="F98">
        <v>152</v>
      </c>
      <c r="I98">
        <v>152</v>
      </c>
    </row>
    <row r="99" spans="1:20" x14ac:dyDescent="0.35">
      <c r="A99" s="3" t="s">
        <v>76</v>
      </c>
      <c r="B99">
        <v>1228</v>
      </c>
      <c r="C99">
        <v>1452</v>
      </c>
      <c r="D99">
        <v>56</v>
      </c>
      <c r="E99">
        <v>56</v>
      </c>
      <c r="F99">
        <v>2792</v>
      </c>
      <c r="G99">
        <v>185.99999999999994</v>
      </c>
      <c r="H99">
        <v>293.99999999999989</v>
      </c>
      <c r="I99">
        <v>3272</v>
      </c>
    </row>
    <row r="104" spans="1:20" x14ac:dyDescent="0.35">
      <c r="A104" s="19" t="s">
        <v>9</v>
      </c>
      <c r="B104" s="19" t="s">
        <v>167</v>
      </c>
    </row>
    <row r="105" spans="1:20" x14ac:dyDescent="0.35">
      <c r="A105" s="4" t="s">
        <v>71</v>
      </c>
      <c r="B105" s="4" t="s">
        <v>72</v>
      </c>
    </row>
    <row r="106" spans="1:20" x14ac:dyDescent="0.35">
      <c r="B106" t="s">
        <v>168</v>
      </c>
      <c r="C106" t="s">
        <v>169</v>
      </c>
      <c r="J106" t="s">
        <v>170</v>
      </c>
      <c r="K106" t="s">
        <v>171</v>
      </c>
      <c r="S106" t="s">
        <v>172</v>
      </c>
      <c r="T106" t="s">
        <v>76</v>
      </c>
    </row>
    <row r="107" spans="1:20" x14ac:dyDescent="0.35">
      <c r="C107" t="s">
        <v>173</v>
      </c>
      <c r="E107" t="s">
        <v>174</v>
      </c>
      <c r="F107" t="s">
        <v>175</v>
      </c>
      <c r="I107" t="s">
        <v>176</v>
      </c>
      <c r="K107" t="s">
        <v>177</v>
      </c>
      <c r="L107" t="s">
        <v>178</v>
      </c>
      <c r="O107" t="s">
        <v>179</v>
      </c>
      <c r="P107" t="s">
        <v>173</v>
      </c>
      <c r="R107" t="s">
        <v>174</v>
      </c>
    </row>
    <row r="108" spans="1:20" x14ac:dyDescent="0.35">
      <c r="A108" s="4" t="s">
        <v>87</v>
      </c>
      <c r="C108" t="s">
        <v>49</v>
      </c>
      <c r="D108" t="s">
        <v>50</v>
      </c>
      <c r="F108" t="s">
        <v>51</v>
      </c>
      <c r="G108" t="s">
        <v>52</v>
      </c>
      <c r="H108" t="s">
        <v>53</v>
      </c>
      <c r="L108" t="s">
        <v>57</v>
      </c>
      <c r="M108" t="s">
        <v>58</v>
      </c>
      <c r="N108" t="s">
        <v>47</v>
      </c>
      <c r="P108" t="s">
        <v>48</v>
      </c>
      <c r="Q108" t="s">
        <v>49</v>
      </c>
    </row>
    <row r="109" spans="1:20" x14ac:dyDescent="0.35">
      <c r="A109" s="3" t="s">
        <v>180</v>
      </c>
      <c r="F109">
        <v>160</v>
      </c>
      <c r="G109">
        <v>152</v>
      </c>
      <c r="H109">
        <v>152</v>
      </c>
      <c r="I109">
        <v>464</v>
      </c>
      <c r="J109">
        <v>464</v>
      </c>
      <c r="K109">
        <v>256</v>
      </c>
      <c r="S109">
        <v>256</v>
      </c>
      <c r="T109">
        <v>720</v>
      </c>
    </row>
    <row r="110" spans="1:20" x14ac:dyDescent="0.35">
      <c r="A110" s="3" t="s">
        <v>88</v>
      </c>
      <c r="F110">
        <v>160</v>
      </c>
      <c r="G110">
        <v>56</v>
      </c>
      <c r="I110">
        <v>216</v>
      </c>
      <c r="J110">
        <v>216</v>
      </c>
      <c r="T110">
        <v>216</v>
      </c>
    </row>
    <row r="111" spans="1:20" x14ac:dyDescent="0.35">
      <c r="A111" s="3" t="s">
        <v>133</v>
      </c>
      <c r="D111">
        <v>320</v>
      </c>
      <c r="E111">
        <v>320</v>
      </c>
      <c r="G111">
        <v>80</v>
      </c>
      <c r="I111">
        <v>80</v>
      </c>
      <c r="J111">
        <v>400</v>
      </c>
      <c r="T111">
        <v>400</v>
      </c>
    </row>
    <row r="112" spans="1:20" x14ac:dyDescent="0.35">
      <c r="A112" s="3" t="s">
        <v>89</v>
      </c>
      <c r="D112">
        <v>160</v>
      </c>
      <c r="E112">
        <v>160</v>
      </c>
      <c r="F112">
        <v>186</v>
      </c>
      <c r="G112">
        <v>98</v>
      </c>
      <c r="I112">
        <v>284</v>
      </c>
      <c r="J112">
        <v>444</v>
      </c>
      <c r="T112">
        <v>444</v>
      </c>
    </row>
    <row r="113" spans="1:20" x14ac:dyDescent="0.35">
      <c r="A113" s="3" t="s">
        <v>147</v>
      </c>
      <c r="F113">
        <v>64</v>
      </c>
      <c r="G113">
        <v>48</v>
      </c>
      <c r="I113">
        <v>112</v>
      </c>
      <c r="J113">
        <v>112</v>
      </c>
      <c r="T113">
        <v>112</v>
      </c>
    </row>
    <row r="114" spans="1:20" x14ac:dyDescent="0.35">
      <c r="A114" s="3" t="s">
        <v>181</v>
      </c>
      <c r="C114">
        <v>24</v>
      </c>
      <c r="E114">
        <v>24</v>
      </c>
      <c r="J114">
        <v>24</v>
      </c>
      <c r="T114">
        <v>24</v>
      </c>
    </row>
    <row r="115" spans="1:20" x14ac:dyDescent="0.35">
      <c r="A115" s="3" t="s">
        <v>134</v>
      </c>
      <c r="D115">
        <v>160</v>
      </c>
      <c r="E115">
        <v>160</v>
      </c>
      <c r="F115">
        <v>344</v>
      </c>
      <c r="I115">
        <v>344</v>
      </c>
      <c r="J115">
        <v>504</v>
      </c>
      <c r="K115">
        <v>96</v>
      </c>
      <c r="L115">
        <v>40</v>
      </c>
      <c r="M115">
        <v>82</v>
      </c>
      <c r="O115">
        <v>122</v>
      </c>
      <c r="S115">
        <v>218</v>
      </c>
      <c r="T115">
        <v>722</v>
      </c>
    </row>
    <row r="116" spans="1:20" x14ac:dyDescent="0.35">
      <c r="A116" s="3" t="s">
        <v>182</v>
      </c>
      <c r="F116">
        <v>48</v>
      </c>
      <c r="G116">
        <v>112</v>
      </c>
      <c r="H116">
        <v>24</v>
      </c>
      <c r="I116">
        <v>184</v>
      </c>
      <c r="J116">
        <v>184</v>
      </c>
      <c r="K116">
        <v>217</v>
      </c>
      <c r="S116">
        <v>217</v>
      </c>
      <c r="T116">
        <v>401</v>
      </c>
    </row>
    <row r="117" spans="1:20" x14ac:dyDescent="0.35">
      <c r="A117" s="3" t="s">
        <v>90</v>
      </c>
      <c r="C117">
        <v>20</v>
      </c>
      <c r="D117">
        <v>160</v>
      </c>
      <c r="E117">
        <v>180</v>
      </c>
      <c r="F117">
        <v>64</v>
      </c>
      <c r="G117">
        <v>88</v>
      </c>
      <c r="H117">
        <v>88</v>
      </c>
      <c r="I117">
        <v>240</v>
      </c>
      <c r="J117">
        <v>420</v>
      </c>
      <c r="K117">
        <v>216</v>
      </c>
      <c r="S117">
        <v>216</v>
      </c>
      <c r="T117">
        <v>636</v>
      </c>
    </row>
    <row r="118" spans="1:20" x14ac:dyDescent="0.35">
      <c r="A118" s="3" t="s">
        <v>148</v>
      </c>
      <c r="F118">
        <v>40</v>
      </c>
      <c r="I118">
        <v>40</v>
      </c>
      <c r="J118">
        <v>40</v>
      </c>
      <c r="K118">
        <v>40</v>
      </c>
      <c r="L118">
        <v>80</v>
      </c>
      <c r="M118">
        <v>160</v>
      </c>
      <c r="O118">
        <v>240</v>
      </c>
      <c r="S118">
        <v>280</v>
      </c>
      <c r="T118">
        <v>320</v>
      </c>
    </row>
    <row r="119" spans="1:20" x14ac:dyDescent="0.35">
      <c r="A119" s="3" t="s">
        <v>91</v>
      </c>
      <c r="D119">
        <v>160</v>
      </c>
      <c r="E119">
        <v>160</v>
      </c>
      <c r="F119">
        <v>200</v>
      </c>
      <c r="G119">
        <v>160</v>
      </c>
      <c r="I119">
        <v>360</v>
      </c>
      <c r="J119">
        <v>520</v>
      </c>
      <c r="T119">
        <v>520</v>
      </c>
    </row>
    <row r="120" spans="1:20" x14ac:dyDescent="0.35">
      <c r="A120" s="3" t="s">
        <v>149</v>
      </c>
      <c r="D120">
        <v>160</v>
      </c>
      <c r="E120">
        <v>160</v>
      </c>
      <c r="F120">
        <v>160</v>
      </c>
      <c r="I120">
        <v>160</v>
      </c>
      <c r="J120">
        <v>320</v>
      </c>
      <c r="T120">
        <v>320</v>
      </c>
    </row>
    <row r="121" spans="1:20" x14ac:dyDescent="0.35">
      <c r="A121" s="3" t="s">
        <v>150</v>
      </c>
      <c r="C121">
        <v>80</v>
      </c>
      <c r="D121">
        <v>296</v>
      </c>
      <c r="E121">
        <v>376</v>
      </c>
      <c r="G121">
        <v>80</v>
      </c>
      <c r="I121">
        <v>80</v>
      </c>
      <c r="J121">
        <v>456</v>
      </c>
      <c r="T121">
        <v>456</v>
      </c>
    </row>
    <row r="122" spans="1:20" x14ac:dyDescent="0.35">
      <c r="A122" s="3" t="s">
        <v>183</v>
      </c>
      <c r="D122">
        <v>224</v>
      </c>
      <c r="E122">
        <v>224</v>
      </c>
      <c r="F122">
        <v>120</v>
      </c>
      <c r="G122">
        <v>160</v>
      </c>
      <c r="I122">
        <v>280</v>
      </c>
      <c r="J122">
        <v>504</v>
      </c>
      <c r="T122">
        <v>504</v>
      </c>
    </row>
    <row r="123" spans="1:20" x14ac:dyDescent="0.35">
      <c r="A123" s="3" t="s">
        <v>184</v>
      </c>
      <c r="F123">
        <v>88</v>
      </c>
      <c r="H123">
        <v>24</v>
      </c>
      <c r="I123">
        <v>112</v>
      </c>
      <c r="J123">
        <v>112</v>
      </c>
      <c r="K123">
        <v>272</v>
      </c>
      <c r="S123">
        <v>272</v>
      </c>
      <c r="T123">
        <v>384</v>
      </c>
    </row>
    <row r="124" spans="1:20" x14ac:dyDescent="0.35">
      <c r="A124" s="3" t="s">
        <v>135</v>
      </c>
      <c r="C124">
        <v>40</v>
      </c>
      <c r="D124">
        <v>160</v>
      </c>
      <c r="E124">
        <v>200</v>
      </c>
      <c r="F124">
        <v>156</v>
      </c>
      <c r="G124">
        <v>140</v>
      </c>
      <c r="H124">
        <v>108</v>
      </c>
      <c r="I124">
        <v>404</v>
      </c>
      <c r="J124">
        <v>604</v>
      </c>
      <c r="K124">
        <v>312</v>
      </c>
      <c r="L124">
        <v>56</v>
      </c>
      <c r="M124">
        <v>112</v>
      </c>
      <c r="N124">
        <v>112</v>
      </c>
      <c r="O124">
        <v>280</v>
      </c>
      <c r="P124">
        <v>28</v>
      </c>
      <c r="R124">
        <v>28</v>
      </c>
      <c r="S124">
        <v>620</v>
      </c>
      <c r="T124">
        <v>1224</v>
      </c>
    </row>
    <row r="125" spans="1:20" x14ac:dyDescent="0.35">
      <c r="A125" s="3" t="s">
        <v>95</v>
      </c>
      <c r="F125">
        <v>96</v>
      </c>
      <c r="I125">
        <v>96</v>
      </c>
      <c r="J125">
        <v>96</v>
      </c>
      <c r="T125">
        <v>96</v>
      </c>
    </row>
    <row r="126" spans="1:20" x14ac:dyDescent="0.35">
      <c r="A126" s="3" t="s">
        <v>185</v>
      </c>
      <c r="F126">
        <v>168</v>
      </c>
      <c r="G126">
        <v>160</v>
      </c>
      <c r="H126">
        <v>152</v>
      </c>
      <c r="I126">
        <v>480</v>
      </c>
      <c r="J126">
        <v>480</v>
      </c>
      <c r="K126">
        <v>496</v>
      </c>
      <c r="L126">
        <v>152</v>
      </c>
      <c r="M126">
        <v>200</v>
      </c>
      <c r="N126">
        <v>160</v>
      </c>
      <c r="O126">
        <v>512</v>
      </c>
      <c r="P126">
        <v>200</v>
      </c>
      <c r="Q126">
        <v>16</v>
      </c>
      <c r="R126">
        <v>216</v>
      </c>
      <c r="S126">
        <v>1224</v>
      </c>
      <c r="T126">
        <v>1704</v>
      </c>
    </row>
    <row r="127" spans="1:20" x14ac:dyDescent="0.35">
      <c r="A127" s="3" t="s">
        <v>152</v>
      </c>
      <c r="C127">
        <v>104</v>
      </c>
      <c r="E127">
        <v>104</v>
      </c>
      <c r="F127">
        <v>56</v>
      </c>
      <c r="G127">
        <v>112</v>
      </c>
      <c r="I127">
        <v>168</v>
      </c>
      <c r="J127">
        <v>272</v>
      </c>
      <c r="T127">
        <v>272</v>
      </c>
    </row>
    <row r="128" spans="1:20" x14ac:dyDescent="0.35">
      <c r="A128" s="3" t="s">
        <v>186</v>
      </c>
      <c r="F128">
        <v>160</v>
      </c>
      <c r="I128">
        <v>160</v>
      </c>
      <c r="J128">
        <v>160</v>
      </c>
      <c r="T128">
        <v>160</v>
      </c>
    </row>
    <row r="129" spans="1:20" x14ac:dyDescent="0.35">
      <c r="A129" s="3" t="s">
        <v>187</v>
      </c>
      <c r="F129">
        <v>80</v>
      </c>
      <c r="I129">
        <v>80</v>
      </c>
      <c r="J129">
        <v>80</v>
      </c>
      <c r="T129">
        <v>80</v>
      </c>
    </row>
    <row r="130" spans="1:20" x14ac:dyDescent="0.35">
      <c r="A130" s="3" t="s">
        <v>153</v>
      </c>
      <c r="F130">
        <v>56</v>
      </c>
      <c r="G130">
        <v>112</v>
      </c>
      <c r="I130">
        <v>168</v>
      </c>
      <c r="J130">
        <v>168</v>
      </c>
      <c r="T130">
        <v>168</v>
      </c>
    </row>
    <row r="131" spans="1:20" x14ac:dyDescent="0.35">
      <c r="A131" s="3" t="s">
        <v>188</v>
      </c>
      <c r="D131">
        <v>320</v>
      </c>
      <c r="E131">
        <v>320</v>
      </c>
      <c r="F131">
        <v>344</v>
      </c>
      <c r="G131">
        <v>320</v>
      </c>
      <c r="H131">
        <v>75</v>
      </c>
      <c r="I131">
        <v>739</v>
      </c>
      <c r="J131">
        <v>1059</v>
      </c>
      <c r="K131">
        <v>378</v>
      </c>
      <c r="L131">
        <v>128</v>
      </c>
      <c r="M131">
        <v>96</v>
      </c>
      <c r="N131">
        <v>80</v>
      </c>
      <c r="O131">
        <v>304</v>
      </c>
      <c r="P131">
        <v>72</v>
      </c>
      <c r="R131">
        <v>72</v>
      </c>
      <c r="S131">
        <v>754</v>
      </c>
      <c r="T131">
        <v>1813</v>
      </c>
    </row>
    <row r="132" spans="1:20" x14ac:dyDescent="0.35">
      <c r="A132" s="3" t="s">
        <v>136</v>
      </c>
      <c r="C132">
        <v>72</v>
      </c>
      <c r="D132">
        <v>160</v>
      </c>
      <c r="E132">
        <v>232</v>
      </c>
      <c r="F132">
        <v>48</v>
      </c>
      <c r="G132">
        <v>64</v>
      </c>
      <c r="H132">
        <v>64</v>
      </c>
      <c r="I132">
        <v>176</v>
      </c>
      <c r="J132">
        <v>408</v>
      </c>
      <c r="K132">
        <v>280</v>
      </c>
      <c r="S132">
        <v>280</v>
      </c>
      <c r="T132">
        <v>688</v>
      </c>
    </row>
    <row r="133" spans="1:20" x14ac:dyDescent="0.35">
      <c r="A133" s="3" t="s">
        <v>156</v>
      </c>
      <c r="F133">
        <v>56</v>
      </c>
      <c r="G133">
        <v>128</v>
      </c>
      <c r="I133">
        <v>184</v>
      </c>
      <c r="J133">
        <v>184</v>
      </c>
      <c r="T133">
        <v>184</v>
      </c>
    </row>
    <row r="134" spans="1:20" x14ac:dyDescent="0.35">
      <c r="A134" s="3" t="s">
        <v>189</v>
      </c>
      <c r="F134">
        <v>200</v>
      </c>
      <c r="G134">
        <v>24</v>
      </c>
      <c r="I134">
        <v>224</v>
      </c>
      <c r="J134">
        <v>224</v>
      </c>
      <c r="T134">
        <v>224</v>
      </c>
    </row>
    <row r="135" spans="1:20" x14ac:dyDescent="0.35">
      <c r="A135" s="3" t="s">
        <v>190</v>
      </c>
      <c r="F135">
        <v>56</v>
      </c>
      <c r="G135">
        <v>128</v>
      </c>
      <c r="I135">
        <v>184</v>
      </c>
      <c r="J135">
        <v>184</v>
      </c>
      <c r="T135">
        <v>184</v>
      </c>
    </row>
    <row r="136" spans="1:20" x14ac:dyDescent="0.35">
      <c r="A136" s="3" t="s">
        <v>191</v>
      </c>
      <c r="F136">
        <v>80</v>
      </c>
      <c r="G136">
        <v>160</v>
      </c>
      <c r="I136">
        <v>240</v>
      </c>
      <c r="J136">
        <v>240</v>
      </c>
      <c r="T136">
        <v>240</v>
      </c>
    </row>
    <row r="137" spans="1:20" x14ac:dyDescent="0.35">
      <c r="A137" s="3" t="s">
        <v>101</v>
      </c>
      <c r="F137">
        <v>160</v>
      </c>
      <c r="I137">
        <v>160</v>
      </c>
      <c r="J137">
        <v>160</v>
      </c>
      <c r="T137">
        <v>160</v>
      </c>
    </row>
    <row r="138" spans="1:20" x14ac:dyDescent="0.35">
      <c r="A138" s="3" t="s">
        <v>159</v>
      </c>
      <c r="D138">
        <v>160</v>
      </c>
      <c r="E138">
        <v>160</v>
      </c>
      <c r="F138">
        <v>78</v>
      </c>
      <c r="G138">
        <v>64</v>
      </c>
      <c r="I138">
        <v>142</v>
      </c>
      <c r="J138">
        <v>302</v>
      </c>
      <c r="K138">
        <v>120</v>
      </c>
      <c r="S138">
        <v>120</v>
      </c>
      <c r="T138">
        <v>422</v>
      </c>
    </row>
    <row r="139" spans="1:20" x14ac:dyDescent="0.35">
      <c r="A139" s="3" t="s">
        <v>102</v>
      </c>
      <c r="C139">
        <v>80</v>
      </c>
      <c r="D139">
        <v>104</v>
      </c>
      <c r="E139">
        <v>184</v>
      </c>
      <c r="F139">
        <v>100</v>
      </c>
      <c r="G139">
        <v>64</v>
      </c>
      <c r="H139">
        <v>64</v>
      </c>
      <c r="I139">
        <v>228</v>
      </c>
      <c r="J139">
        <v>412</v>
      </c>
      <c r="K139">
        <v>160</v>
      </c>
      <c r="S139">
        <v>160</v>
      </c>
      <c r="T139">
        <v>572</v>
      </c>
    </row>
    <row r="140" spans="1:20" x14ac:dyDescent="0.35">
      <c r="A140" s="3" t="s">
        <v>192</v>
      </c>
      <c r="F140">
        <v>40</v>
      </c>
      <c r="H140">
        <v>40</v>
      </c>
      <c r="I140">
        <v>80</v>
      </c>
      <c r="J140">
        <v>80</v>
      </c>
      <c r="K140">
        <v>248</v>
      </c>
      <c r="S140">
        <v>248</v>
      </c>
      <c r="T140">
        <v>328</v>
      </c>
    </row>
    <row r="141" spans="1:20" x14ac:dyDescent="0.35">
      <c r="A141" s="3" t="s">
        <v>193</v>
      </c>
      <c r="K141">
        <v>224</v>
      </c>
      <c r="L141">
        <v>160</v>
      </c>
      <c r="M141">
        <v>168</v>
      </c>
      <c r="N141">
        <v>152</v>
      </c>
      <c r="O141">
        <v>480</v>
      </c>
      <c r="P141">
        <v>200</v>
      </c>
      <c r="R141">
        <v>200</v>
      </c>
      <c r="S141">
        <v>904</v>
      </c>
      <c r="T141">
        <v>904</v>
      </c>
    </row>
    <row r="142" spans="1:20" x14ac:dyDescent="0.35">
      <c r="A142" s="3" t="s">
        <v>139</v>
      </c>
      <c r="C142">
        <v>72</v>
      </c>
      <c r="D142">
        <v>160</v>
      </c>
      <c r="E142">
        <v>232</v>
      </c>
      <c r="F142">
        <v>64</v>
      </c>
      <c r="G142">
        <v>88</v>
      </c>
      <c r="H142">
        <v>96</v>
      </c>
      <c r="I142">
        <v>248</v>
      </c>
      <c r="J142">
        <v>480</v>
      </c>
      <c r="K142">
        <v>216</v>
      </c>
      <c r="S142">
        <v>216</v>
      </c>
      <c r="T142">
        <v>696</v>
      </c>
    </row>
    <row r="143" spans="1:20" x14ac:dyDescent="0.35">
      <c r="A143" s="3" t="s">
        <v>108</v>
      </c>
      <c r="F143">
        <v>40</v>
      </c>
      <c r="G143">
        <v>40</v>
      </c>
      <c r="I143">
        <v>80</v>
      </c>
      <c r="J143">
        <v>80</v>
      </c>
      <c r="T143">
        <v>80</v>
      </c>
    </row>
    <row r="144" spans="1:20" x14ac:dyDescent="0.35">
      <c r="A144" s="3" t="s">
        <v>140</v>
      </c>
      <c r="C144">
        <v>64</v>
      </c>
      <c r="D144">
        <v>320</v>
      </c>
      <c r="E144">
        <v>384</v>
      </c>
      <c r="F144">
        <v>344</v>
      </c>
      <c r="G144">
        <v>320</v>
      </c>
      <c r="H144">
        <v>59</v>
      </c>
      <c r="I144">
        <v>723</v>
      </c>
      <c r="J144">
        <v>1107</v>
      </c>
      <c r="K144">
        <v>452</v>
      </c>
      <c r="L144">
        <v>152</v>
      </c>
      <c r="N144">
        <v>104</v>
      </c>
      <c r="O144">
        <v>256</v>
      </c>
      <c r="P144">
        <v>120</v>
      </c>
      <c r="R144">
        <v>120</v>
      </c>
      <c r="S144">
        <v>828</v>
      </c>
      <c r="T144">
        <v>1935</v>
      </c>
    </row>
    <row r="145" spans="1:20" x14ac:dyDescent="0.35">
      <c r="A145" s="3" t="s">
        <v>194</v>
      </c>
      <c r="C145">
        <v>56</v>
      </c>
      <c r="E145">
        <v>56</v>
      </c>
      <c r="J145">
        <v>56</v>
      </c>
      <c r="T145">
        <v>56</v>
      </c>
    </row>
    <row r="146" spans="1:20" x14ac:dyDescent="0.35">
      <c r="A146" s="3" t="s">
        <v>141</v>
      </c>
      <c r="K146">
        <v>24</v>
      </c>
      <c r="M146">
        <v>72</v>
      </c>
      <c r="O146">
        <v>72</v>
      </c>
      <c r="S146">
        <v>96</v>
      </c>
      <c r="T146">
        <v>96</v>
      </c>
    </row>
    <row r="147" spans="1:20" x14ac:dyDescent="0.35">
      <c r="A147" s="3" t="s">
        <v>195</v>
      </c>
      <c r="D147">
        <v>160</v>
      </c>
      <c r="E147">
        <v>160</v>
      </c>
      <c r="F147">
        <v>236</v>
      </c>
      <c r="G147">
        <v>160</v>
      </c>
      <c r="H147">
        <v>89</v>
      </c>
      <c r="I147">
        <v>485</v>
      </c>
      <c r="J147">
        <v>645</v>
      </c>
      <c r="K147">
        <v>498</v>
      </c>
      <c r="L147">
        <v>160</v>
      </c>
      <c r="M147">
        <v>169</v>
      </c>
      <c r="O147">
        <v>329</v>
      </c>
      <c r="S147">
        <v>827</v>
      </c>
      <c r="T147">
        <v>1472</v>
      </c>
    </row>
    <row r="148" spans="1:20" x14ac:dyDescent="0.35">
      <c r="A148" s="3" t="s">
        <v>196</v>
      </c>
      <c r="K148">
        <v>120</v>
      </c>
      <c r="S148">
        <v>120</v>
      </c>
      <c r="T148">
        <v>120</v>
      </c>
    </row>
    <row r="149" spans="1:20" x14ac:dyDescent="0.35">
      <c r="A149" s="3" t="s">
        <v>197</v>
      </c>
      <c r="K149">
        <v>240</v>
      </c>
      <c r="L149">
        <v>80</v>
      </c>
      <c r="M149">
        <v>160</v>
      </c>
      <c r="O149">
        <v>240</v>
      </c>
      <c r="S149">
        <v>480</v>
      </c>
      <c r="T149">
        <v>480</v>
      </c>
    </row>
    <row r="150" spans="1:20" x14ac:dyDescent="0.35">
      <c r="A150" s="3" t="s">
        <v>198</v>
      </c>
      <c r="F150">
        <v>40</v>
      </c>
      <c r="G150">
        <v>20</v>
      </c>
      <c r="I150">
        <v>60</v>
      </c>
      <c r="J150">
        <v>60</v>
      </c>
      <c r="T150">
        <v>60</v>
      </c>
    </row>
    <row r="151" spans="1:20" x14ac:dyDescent="0.35">
      <c r="A151" s="3" t="s">
        <v>143</v>
      </c>
      <c r="F151">
        <v>168</v>
      </c>
      <c r="G151">
        <v>160</v>
      </c>
      <c r="H151">
        <v>152</v>
      </c>
      <c r="I151">
        <v>480</v>
      </c>
      <c r="J151">
        <v>480</v>
      </c>
      <c r="K151">
        <v>496</v>
      </c>
      <c r="L151">
        <v>160</v>
      </c>
      <c r="M151">
        <v>192</v>
      </c>
      <c r="N151">
        <v>160</v>
      </c>
      <c r="O151">
        <v>512</v>
      </c>
      <c r="P151">
        <v>200</v>
      </c>
      <c r="Q151">
        <v>16</v>
      </c>
      <c r="R151">
        <v>216</v>
      </c>
      <c r="S151">
        <v>1224</v>
      </c>
      <c r="T151">
        <v>1704</v>
      </c>
    </row>
    <row r="152" spans="1:20" x14ac:dyDescent="0.35">
      <c r="A152" s="3" t="s">
        <v>199</v>
      </c>
      <c r="K152">
        <v>216</v>
      </c>
      <c r="L152">
        <v>152</v>
      </c>
      <c r="M152">
        <v>152</v>
      </c>
      <c r="N152">
        <v>104</v>
      </c>
      <c r="O152">
        <v>408</v>
      </c>
      <c r="P152">
        <v>120</v>
      </c>
      <c r="R152">
        <v>120</v>
      </c>
      <c r="S152">
        <v>744</v>
      </c>
      <c r="T152">
        <v>744</v>
      </c>
    </row>
    <row r="153" spans="1:20" x14ac:dyDescent="0.35">
      <c r="A153" s="3" t="s">
        <v>164</v>
      </c>
      <c r="F153">
        <v>56</v>
      </c>
      <c r="G153">
        <v>120</v>
      </c>
      <c r="I153">
        <v>176</v>
      </c>
      <c r="J153">
        <v>176</v>
      </c>
      <c r="T153">
        <v>176</v>
      </c>
    </row>
    <row r="154" spans="1:20" x14ac:dyDescent="0.35">
      <c r="A154" s="3" t="s">
        <v>200</v>
      </c>
      <c r="D154">
        <v>40</v>
      </c>
      <c r="E154">
        <v>40</v>
      </c>
      <c r="J154">
        <v>40</v>
      </c>
      <c r="T154">
        <v>40</v>
      </c>
    </row>
    <row r="155" spans="1:20" x14ac:dyDescent="0.35">
      <c r="A155" s="3" t="s">
        <v>201</v>
      </c>
      <c r="D155">
        <v>160</v>
      </c>
      <c r="E155">
        <v>160</v>
      </c>
      <c r="F155">
        <v>168</v>
      </c>
      <c r="G155">
        <v>160</v>
      </c>
      <c r="H155">
        <v>152</v>
      </c>
      <c r="I155">
        <v>480</v>
      </c>
      <c r="J155">
        <v>640</v>
      </c>
      <c r="K155">
        <v>448</v>
      </c>
      <c r="L155">
        <v>120</v>
      </c>
      <c r="M155">
        <v>192</v>
      </c>
      <c r="N155">
        <v>60</v>
      </c>
      <c r="O155">
        <v>372</v>
      </c>
      <c r="P155">
        <v>100</v>
      </c>
      <c r="Q155">
        <v>8</v>
      </c>
      <c r="R155">
        <v>108</v>
      </c>
      <c r="S155">
        <v>928</v>
      </c>
      <c r="T155">
        <v>1568</v>
      </c>
    </row>
    <row r="156" spans="1:20" x14ac:dyDescent="0.35">
      <c r="A156" s="3" t="s">
        <v>202</v>
      </c>
      <c r="K156">
        <v>32</v>
      </c>
      <c r="S156">
        <v>32</v>
      </c>
      <c r="T156">
        <v>32</v>
      </c>
    </row>
    <row r="157" spans="1:20" x14ac:dyDescent="0.35">
      <c r="A157" s="3" t="s">
        <v>203</v>
      </c>
      <c r="C157">
        <v>72</v>
      </c>
      <c r="E157">
        <v>72</v>
      </c>
      <c r="J157">
        <v>72</v>
      </c>
      <c r="T157">
        <v>72</v>
      </c>
    </row>
    <row r="158" spans="1:20" x14ac:dyDescent="0.35">
      <c r="A158" s="3" t="s">
        <v>204</v>
      </c>
      <c r="H158">
        <v>80</v>
      </c>
      <c r="I158">
        <v>80</v>
      </c>
      <c r="J158">
        <v>80</v>
      </c>
      <c r="T158">
        <v>80</v>
      </c>
    </row>
    <row r="159" spans="1:20" x14ac:dyDescent="0.35">
      <c r="A159" s="3" t="s">
        <v>205</v>
      </c>
      <c r="C159">
        <v>80</v>
      </c>
      <c r="D159">
        <v>104</v>
      </c>
      <c r="E159">
        <v>184</v>
      </c>
      <c r="G159">
        <v>16</v>
      </c>
      <c r="I159">
        <v>16</v>
      </c>
      <c r="J159">
        <v>200</v>
      </c>
      <c r="T159">
        <v>200</v>
      </c>
    </row>
    <row r="160" spans="1:20" x14ac:dyDescent="0.35">
      <c r="A160" s="3" t="s">
        <v>206</v>
      </c>
      <c r="C160">
        <v>80</v>
      </c>
      <c r="D160">
        <v>240</v>
      </c>
      <c r="E160">
        <v>320</v>
      </c>
      <c r="F160">
        <v>344</v>
      </c>
      <c r="G160">
        <v>320</v>
      </c>
      <c r="H160">
        <v>59</v>
      </c>
      <c r="I160">
        <v>723</v>
      </c>
      <c r="J160">
        <v>1043</v>
      </c>
      <c r="K160">
        <v>405</v>
      </c>
      <c r="L160">
        <v>160</v>
      </c>
      <c r="M160">
        <v>176</v>
      </c>
      <c r="O160">
        <v>336</v>
      </c>
      <c r="S160">
        <v>741</v>
      </c>
      <c r="T160">
        <v>1784</v>
      </c>
    </row>
    <row r="161" spans="1:20" x14ac:dyDescent="0.35">
      <c r="A161" s="3" t="s">
        <v>207</v>
      </c>
      <c r="F161">
        <v>80</v>
      </c>
      <c r="I161">
        <v>80</v>
      </c>
      <c r="J161">
        <v>80</v>
      </c>
      <c r="K161">
        <v>304</v>
      </c>
      <c r="L161">
        <v>120</v>
      </c>
      <c r="M161">
        <v>24</v>
      </c>
      <c r="O161">
        <v>144</v>
      </c>
      <c r="S161">
        <v>448</v>
      </c>
      <c r="T161">
        <v>528</v>
      </c>
    </row>
    <row r="162" spans="1:20" x14ac:dyDescent="0.35">
      <c r="A162" s="3" t="s">
        <v>145</v>
      </c>
    </row>
    <row r="163" spans="1:20" x14ac:dyDescent="0.35">
      <c r="A163" s="3" t="s">
        <v>76</v>
      </c>
      <c r="C163">
        <v>844</v>
      </c>
      <c r="D163">
        <v>3728</v>
      </c>
      <c r="E163">
        <v>4572</v>
      </c>
      <c r="F163">
        <v>5108</v>
      </c>
      <c r="G163">
        <v>3914</v>
      </c>
      <c r="H163">
        <v>1478</v>
      </c>
      <c r="I163">
        <v>10500</v>
      </c>
      <c r="J163">
        <v>15072</v>
      </c>
      <c r="K163">
        <v>6766</v>
      </c>
      <c r="L163">
        <v>1720</v>
      </c>
      <c r="M163">
        <v>1955</v>
      </c>
      <c r="N163">
        <v>932</v>
      </c>
      <c r="O163">
        <v>4607</v>
      </c>
      <c r="P163">
        <v>1040</v>
      </c>
      <c r="Q163">
        <v>40</v>
      </c>
      <c r="R163">
        <v>1080</v>
      </c>
      <c r="S163">
        <v>12453</v>
      </c>
      <c r="T163">
        <v>27525</v>
      </c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C595-A785-4CF1-8982-7A0D31D60524}">
  <dimension ref="A1:K116"/>
  <sheetViews>
    <sheetView topLeftCell="C13" zoomScale="85" zoomScaleNormal="85" workbookViewId="0">
      <selection activeCell="J29" sqref="J29"/>
    </sheetView>
  </sheetViews>
  <sheetFormatPr defaultRowHeight="14.5" x14ac:dyDescent="0.35"/>
  <cols>
    <col min="1" max="1" width="51.1796875" bestFit="1" customWidth="1"/>
    <col min="2" max="2" width="4.1796875" bestFit="1" customWidth="1"/>
    <col min="3" max="3" width="81.453125" bestFit="1" customWidth="1"/>
    <col min="4" max="4" width="10.26953125" bestFit="1" customWidth="1"/>
    <col min="5" max="5" width="10.1796875" bestFit="1" customWidth="1"/>
    <col min="6" max="6" width="12.81640625" bestFit="1" customWidth="1"/>
    <col min="7" max="7" width="14.81640625" bestFit="1" customWidth="1"/>
    <col min="8" max="8" width="46.1796875" bestFit="1" customWidth="1"/>
    <col min="9" max="9" width="17" bestFit="1" customWidth="1"/>
    <col min="10" max="10" width="19.453125" customWidth="1"/>
    <col min="11" max="11" width="32.453125" bestFit="1" customWidth="1"/>
  </cols>
  <sheetData>
    <row r="1" spans="1:11" x14ac:dyDescent="0.35">
      <c r="A1" s="30" t="s">
        <v>9</v>
      </c>
      <c r="B1" s="30" t="s">
        <v>208</v>
      </c>
      <c r="C1" s="31" t="s">
        <v>209</v>
      </c>
      <c r="D1" s="30" t="s">
        <v>210</v>
      </c>
      <c r="E1" s="30" t="s">
        <v>211</v>
      </c>
      <c r="F1" s="30" t="s">
        <v>212</v>
      </c>
      <c r="G1" s="30" t="s">
        <v>360</v>
      </c>
      <c r="H1" s="30" t="s">
        <v>213</v>
      </c>
      <c r="I1" s="30" t="s">
        <v>214</v>
      </c>
      <c r="J1" s="30" t="s">
        <v>215</v>
      </c>
      <c r="K1" s="30" t="s">
        <v>216</v>
      </c>
    </row>
    <row r="2" spans="1:11" x14ac:dyDescent="0.35">
      <c r="A2" t="s">
        <v>61</v>
      </c>
      <c r="B2" s="32">
        <v>1</v>
      </c>
      <c r="C2" s="33" t="s">
        <v>217</v>
      </c>
      <c r="D2" s="34">
        <v>0.1</v>
      </c>
      <c r="E2" s="35">
        <v>183625</v>
      </c>
      <c r="F2" s="35">
        <f>E2/3.67</f>
        <v>50034.059945504086</v>
      </c>
      <c r="G2" s="35" t="s">
        <v>361</v>
      </c>
      <c r="H2" s="36">
        <v>46108</v>
      </c>
      <c r="I2" s="36" t="s">
        <v>218</v>
      </c>
      <c r="J2" s="36" t="s">
        <v>219</v>
      </c>
    </row>
    <row r="3" spans="1:11" x14ac:dyDescent="0.35">
      <c r="A3" t="s">
        <v>61</v>
      </c>
      <c r="B3" s="32">
        <v>2</v>
      </c>
      <c r="C3" s="33" t="s">
        <v>220</v>
      </c>
      <c r="D3" s="34">
        <v>0.15</v>
      </c>
      <c r="E3" s="35">
        <v>275437.5</v>
      </c>
      <c r="F3" s="35">
        <f t="shared" ref="F3:F15" si="0">E3/3.67</f>
        <v>75051.089918256126</v>
      </c>
      <c r="G3" s="35" t="s">
        <v>361</v>
      </c>
      <c r="H3" s="36">
        <v>46108</v>
      </c>
      <c r="I3" s="36" t="s">
        <v>218</v>
      </c>
      <c r="J3" s="36" t="s">
        <v>219</v>
      </c>
    </row>
    <row r="4" spans="1:11" x14ac:dyDescent="0.35">
      <c r="A4" t="s">
        <v>61</v>
      </c>
      <c r="B4" s="32">
        <v>3</v>
      </c>
      <c r="C4" s="33" t="s">
        <v>221</v>
      </c>
      <c r="D4" s="34">
        <v>0.1</v>
      </c>
      <c r="E4" s="35">
        <v>183625</v>
      </c>
      <c r="F4" s="35">
        <f t="shared" si="0"/>
        <v>50034.059945504086</v>
      </c>
      <c r="G4" s="35" t="s">
        <v>361</v>
      </c>
      <c r="H4" s="36">
        <v>46108</v>
      </c>
      <c r="I4" s="36" t="s">
        <v>218</v>
      </c>
      <c r="J4" s="36" t="s">
        <v>219</v>
      </c>
    </row>
    <row r="5" spans="1:11" x14ac:dyDescent="0.35">
      <c r="A5" t="s">
        <v>61</v>
      </c>
      <c r="B5" s="32">
        <v>4</v>
      </c>
      <c r="C5" s="37" t="s">
        <v>222</v>
      </c>
      <c r="D5" s="38">
        <v>0.1</v>
      </c>
      <c r="E5" s="39">
        <v>183625</v>
      </c>
      <c r="F5" s="35">
        <f t="shared" si="0"/>
        <v>50034.059945504086</v>
      </c>
      <c r="G5" s="35" t="s">
        <v>361</v>
      </c>
      <c r="H5" s="40">
        <v>46192</v>
      </c>
      <c r="I5" s="36" t="s">
        <v>218</v>
      </c>
      <c r="J5" s="40" t="s">
        <v>224</v>
      </c>
    </row>
    <row r="6" spans="1:11" x14ac:dyDescent="0.35">
      <c r="A6" t="s">
        <v>61</v>
      </c>
      <c r="B6" s="32">
        <v>5</v>
      </c>
      <c r="C6" s="37" t="s">
        <v>225</v>
      </c>
      <c r="D6" s="38">
        <v>0.1</v>
      </c>
      <c r="E6" s="39">
        <v>183625</v>
      </c>
      <c r="F6" s="35">
        <f t="shared" si="0"/>
        <v>50034.059945504086</v>
      </c>
      <c r="G6" s="35" t="s">
        <v>361</v>
      </c>
      <c r="H6" s="40">
        <v>46192</v>
      </c>
      <c r="I6" s="36" t="s">
        <v>218</v>
      </c>
      <c r="J6" s="40" t="s">
        <v>224</v>
      </c>
    </row>
    <row r="7" spans="1:11" x14ac:dyDescent="0.35">
      <c r="A7" t="s">
        <v>61</v>
      </c>
      <c r="B7" s="32">
        <v>6</v>
      </c>
      <c r="C7" s="33" t="s">
        <v>226</v>
      </c>
      <c r="D7" s="34">
        <v>0.05</v>
      </c>
      <c r="E7" s="35">
        <v>91812.5</v>
      </c>
      <c r="F7" s="35">
        <f t="shared" si="0"/>
        <v>25017.029972752043</v>
      </c>
      <c r="G7" s="35" t="s">
        <v>361</v>
      </c>
      <c r="H7" s="36">
        <v>46108</v>
      </c>
      <c r="I7" s="36" t="s">
        <v>218</v>
      </c>
      <c r="J7" s="36" t="s">
        <v>219</v>
      </c>
    </row>
    <row r="8" spans="1:11" x14ac:dyDescent="0.35">
      <c r="A8" t="s">
        <v>61</v>
      </c>
      <c r="B8" s="32">
        <v>7</v>
      </c>
      <c r="C8" s="37" t="s">
        <v>227</v>
      </c>
      <c r="D8" s="38">
        <v>0.05</v>
      </c>
      <c r="E8" s="39">
        <v>91812.5</v>
      </c>
      <c r="F8" s="35">
        <f t="shared" si="0"/>
        <v>25017.029972752043</v>
      </c>
      <c r="G8" s="35" t="s">
        <v>361</v>
      </c>
      <c r="H8" s="40">
        <v>46192</v>
      </c>
      <c r="I8" s="36" t="s">
        <v>218</v>
      </c>
      <c r="J8" s="40" t="s">
        <v>224</v>
      </c>
    </row>
    <row r="9" spans="1:11" x14ac:dyDescent="0.35">
      <c r="A9" t="s">
        <v>61</v>
      </c>
      <c r="B9" s="32">
        <v>8</v>
      </c>
      <c r="C9" s="33" t="s">
        <v>228</v>
      </c>
      <c r="D9" s="34">
        <v>0.05</v>
      </c>
      <c r="E9" s="35">
        <v>91812.5</v>
      </c>
      <c r="F9" s="35">
        <f t="shared" si="0"/>
        <v>25017.029972752043</v>
      </c>
      <c r="G9" s="35" t="s">
        <v>361</v>
      </c>
      <c r="H9" s="36">
        <v>46108</v>
      </c>
      <c r="I9" s="36" t="s">
        <v>218</v>
      </c>
      <c r="J9" s="36" t="s">
        <v>219</v>
      </c>
    </row>
    <row r="10" spans="1:11" x14ac:dyDescent="0.35">
      <c r="A10" t="s">
        <v>61</v>
      </c>
      <c r="B10" s="32">
        <v>9</v>
      </c>
      <c r="C10" s="37" t="s">
        <v>229</v>
      </c>
      <c r="D10" s="38">
        <v>0.05</v>
      </c>
      <c r="E10" s="39">
        <v>91812.5</v>
      </c>
      <c r="F10" s="35">
        <f t="shared" si="0"/>
        <v>25017.029972752043</v>
      </c>
      <c r="G10" s="35" t="s">
        <v>361</v>
      </c>
      <c r="H10" s="40">
        <v>46192</v>
      </c>
      <c r="I10" s="36" t="s">
        <v>218</v>
      </c>
      <c r="J10" s="40" t="s">
        <v>224</v>
      </c>
    </row>
    <row r="11" spans="1:11" x14ac:dyDescent="0.35">
      <c r="A11" t="s">
        <v>61</v>
      </c>
      <c r="B11" s="32">
        <v>10</v>
      </c>
      <c r="C11" s="37" t="s">
        <v>230</v>
      </c>
      <c r="D11" s="38">
        <v>0.05</v>
      </c>
      <c r="E11" s="39">
        <v>91812.5</v>
      </c>
      <c r="F11" s="35">
        <f t="shared" si="0"/>
        <v>25017.029972752043</v>
      </c>
      <c r="G11" s="35" t="s">
        <v>361</v>
      </c>
      <c r="H11" s="40">
        <v>46192</v>
      </c>
      <c r="I11" s="36" t="s">
        <v>218</v>
      </c>
      <c r="J11" s="40" t="s">
        <v>224</v>
      </c>
    </row>
    <row r="12" spans="1:11" x14ac:dyDescent="0.35">
      <c r="A12" t="s">
        <v>61</v>
      </c>
      <c r="B12" s="32">
        <v>11</v>
      </c>
      <c r="C12" s="6" t="s">
        <v>231</v>
      </c>
      <c r="D12" s="41">
        <v>0.05</v>
      </c>
      <c r="E12" s="42">
        <v>91812.5</v>
      </c>
      <c r="F12" s="35">
        <f t="shared" si="0"/>
        <v>25017.029972752043</v>
      </c>
      <c r="G12" s="35" t="s">
        <v>361</v>
      </c>
      <c r="H12" s="43">
        <v>46127</v>
      </c>
      <c r="I12" s="36" t="s">
        <v>218</v>
      </c>
      <c r="J12" s="40" t="s">
        <v>224</v>
      </c>
      <c r="K12" s="6" t="s">
        <v>232</v>
      </c>
    </row>
    <row r="13" spans="1:11" x14ac:dyDescent="0.35">
      <c r="A13" t="s">
        <v>61</v>
      </c>
      <c r="B13" s="32">
        <v>12</v>
      </c>
      <c r="C13" s="6" t="s">
        <v>233</v>
      </c>
      <c r="D13" s="41">
        <v>0.05</v>
      </c>
      <c r="E13" s="42">
        <v>91812.5</v>
      </c>
      <c r="F13" s="35">
        <f t="shared" si="0"/>
        <v>25017.029972752043</v>
      </c>
      <c r="G13" s="35" t="s">
        <v>361</v>
      </c>
      <c r="H13" s="43">
        <v>46136</v>
      </c>
      <c r="I13" s="36" t="s">
        <v>218</v>
      </c>
      <c r="J13" s="40" t="s">
        <v>224</v>
      </c>
      <c r="K13" s="6" t="s">
        <v>234</v>
      </c>
    </row>
    <row r="14" spans="1:11" x14ac:dyDescent="0.35">
      <c r="A14" t="s">
        <v>61</v>
      </c>
      <c r="B14" s="32">
        <v>13</v>
      </c>
      <c r="C14" s="37" t="s">
        <v>235</v>
      </c>
      <c r="D14" s="38">
        <v>0.05</v>
      </c>
      <c r="E14" s="39">
        <v>91812.5</v>
      </c>
      <c r="F14" s="35">
        <f t="shared" si="0"/>
        <v>25017.029972752043</v>
      </c>
      <c r="G14" s="35" t="s">
        <v>361</v>
      </c>
      <c r="H14" s="40">
        <v>46247</v>
      </c>
      <c r="I14" s="40" t="s">
        <v>223</v>
      </c>
      <c r="J14" s="40" t="s">
        <v>224</v>
      </c>
    </row>
    <row r="15" spans="1:11" x14ac:dyDescent="0.35">
      <c r="A15" t="s">
        <v>61</v>
      </c>
      <c r="B15" s="32">
        <v>14</v>
      </c>
      <c r="C15" s="37" t="s">
        <v>236</v>
      </c>
      <c r="D15" s="38">
        <v>0.05</v>
      </c>
      <c r="E15" s="39">
        <v>91812.5</v>
      </c>
      <c r="F15" s="35">
        <f t="shared" si="0"/>
        <v>25017.029972752043</v>
      </c>
      <c r="G15" s="35" t="s">
        <v>361</v>
      </c>
      <c r="H15" s="40">
        <v>46288</v>
      </c>
      <c r="I15" s="40" t="s">
        <v>223</v>
      </c>
      <c r="J15" s="40" t="s">
        <v>224</v>
      </c>
    </row>
    <row r="16" spans="1:11" x14ac:dyDescent="0.35">
      <c r="A16" t="s">
        <v>63</v>
      </c>
      <c r="B16" s="32">
        <v>1</v>
      </c>
      <c r="C16" t="s">
        <v>237</v>
      </c>
      <c r="D16" s="44">
        <f>F16/620000</f>
        <v>0.1</v>
      </c>
      <c r="E16" s="45">
        <f>F16*3.673</f>
        <v>227726</v>
      </c>
      <c r="F16" s="46">
        <v>62000</v>
      </c>
      <c r="G16" s="35" t="s">
        <v>361</v>
      </c>
      <c r="H16" s="47">
        <v>46142</v>
      </c>
      <c r="I16" s="48" t="s">
        <v>238</v>
      </c>
      <c r="J16" s="40" t="s">
        <v>224</v>
      </c>
      <c r="K16" t="s">
        <v>239</v>
      </c>
    </row>
    <row r="17" spans="1:11" x14ac:dyDescent="0.35">
      <c r="A17" t="s">
        <v>63</v>
      </c>
      <c r="B17" s="32">
        <v>2</v>
      </c>
      <c r="C17" t="s">
        <v>240</v>
      </c>
      <c r="D17" s="44">
        <f t="shared" ref="D17:D27" si="1">F17/620000</f>
        <v>0.1</v>
      </c>
      <c r="E17" s="45">
        <f t="shared" ref="E17:E52" si="2">F17*3.673</f>
        <v>227726</v>
      </c>
      <c r="F17" s="46">
        <v>62000</v>
      </c>
      <c r="G17" s="35" t="s">
        <v>361</v>
      </c>
      <c r="H17" s="47">
        <v>46142</v>
      </c>
      <c r="I17" s="48" t="s">
        <v>238</v>
      </c>
      <c r="J17" s="40" t="s">
        <v>224</v>
      </c>
      <c r="K17" t="s">
        <v>239</v>
      </c>
    </row>
    <row r="18" spans="1:11" x14ac:dyDescent="0.35">
      <c r="A18" t="s">
        <v>63</v>
      </c>
      <c r="B18" s="32">
        <v>3</v>
      </c>
      <c r="C18" t="s">
        <v>241</v>
      </c>
      <c r="D18" s="44">
        <f t="shared" si="1"/>
        <v>0.05</v>
      </c>
      <c r="E18" s="45">
        <f t="shared" si="2"/>
        <v>113863</v>
      </c>
      <c r="F18" s="46">
        <v>31000</v>
      </c>
      <c r="G18" s="35" t="s">
        <v>361</v>
      </c>
      <c r="H18" s="47">
        <v>46142</v>
      </c>
      <c r="I18" s="48" t="s">
        <v>238</v>
      </c>
      <c r="J18" s="40" t="s">
        <v>224</v>
      </c>
      <c r="K18" t="s">
        <v>239</v>
      </c>
    </row>
    <row r="19" spans="1:11" x14ac:dyDescent="0.35">
      <c r="A19" t="s">
        <v>63</v>
      </c>
      <c r="B19" s="32">
        <v>4</v>
      </c>
      <c r="C19" t="s">
        <v>242</v>
      </c>
      <c r="D19" s="44">
        <f t="shared" si="1"/>
        <v>0.05</v>
      </c>
      <c r="E19" s="45">
        <f t="shared" si="2"/>
        <v>113863</v>
      </c>
      <c r="F19" s="46">
        <v>31000</v>
      </c>
      <c r="G19" s="35" t="s">
        <v>361</v>
      </c>
      <c r="H19" s="47">
        <v>46151</v>
      </c>
      <c r="I19" s="48" t="s">
        <v>238</v>
      </c>
      <c r="J19" s="40" t="s">
        <v>224</v>
      </c>
      <c r="K19" t="s">
        <v>239</v>
      </c>
    </row>
    <row r="20" spans="1:11" x14ac:dyDescent="0.35">
      <c r="A20" t="s">
        <v>63</v>
      </c>
      <c r="B20" s="32">
        <v>5</v>
      </c>
      <c r="C20" t="s">
        <v>243</v>
      </c>
      <c r="D20" s="44">
        <f t="shared" si="1"/>
        <v>0.05</v>
      </c>
      <c r="E20" s="45">
        <f t="shared" si="2"/>
        <v>113863</v>
      </c>
      <c r="F20" s="46">
        <v>31000</v>
      </c>
      <c r="G20" s="35" t="s">
        <v>361</v>
      </c>
      <c r="H20" s="47">
        <v>46151</v>
      </c>
      <c r="I20" s="48" t="s">
        <v>238</v>
      </c>
      <c r="J20" s="40" t="s">
        <v>224</v>
      </c>
      <c r="K20" t="s">
        <v>239</v>
      </c>
    </row>
    <row r="21" spans="1:11" x14ac:dyDescent="0.35">
      <c r="A21" t="s">
        <v>63</v>
      </c>
      <c r="B21" s="32">
        <v>6</v>
      </c>
      <c r="C21" t="s">
        <v>244</v>
      </c>
      <c r="D21" s="44">
        <f t="shared" si="1"/>
        <v>0.1</v>
      </c>
      <c r="E21" s="45">
        <f t="shared" si="2"/>
        <v>227726</v>
      </c>
      <c r="F21" s="46">
        <v>62000</v>
      </c>
      <c r="G21" s="35" t="s">
        <v>361</v>
      </c>
      <c r="H21" s="47">
        <v>46158</v>
      </c>
      <c r="I21" s="48" t="s">
        <v>238</v>
      </c>
      <c r="J21" s="40" t="s">
        <v>224</v>
      </c>
      <c r="K21" t="s">
        <v>239</v>
      </c>
    </row>
    <row r="22" spans="1:11" x14ac:dyDescent="0.35">
      <c r="A22" t="s">
        <v>63</v>
      </c>
      <c r="B22" s="32">
        <v>7</v>
      </c>
      <c r="C22" t="s">
        <v>245</v>
      </c>
      <c r="D22" s="44">
        <f t="shared" si="1"/>
        <v>0.1</v>
      </c>
      <c r="E22" s="45">
        <f t="shared" si="2"/>
        <v>227726</v>
      </c>
      <c r="F22" s="46">
        <v>62000</v>
      </c>
      <c r="G22" s="35" t="s">
        <v>361</v>
      </c>
      <c r="H22" s="47" t="s">
        <v>246</v>
      </c>
      <c r="I22" s="48" t="s">
        <v>238</v>
      </c>
      <c r="J22" s="40" t="s">
        <v>224</v>
      </c>
      <c r="K22" t="s">
        <v>239</v>
      </c>
    </row>
    <row r="23" spans="1:11" x14ac:dyDescent="0.35">
      <c r="A23" t="s">
        <v>63</v>
      </c>
      <c r="B23" s="32">
        <v>8</v>
      </c>
      <c r="C23" t="s">
        <v>247</v>
      </c>
      <c r="D23" s="44">
        <f t="shared" si="1"/>
        <v>0.1</v>
      </c>
      <c r="E23" s="45">
        <f t="shared" si="2"/>
        <v>227726</v>
      </c>
      <c r="F23" s="46">
        <v>62000</v>
      </c>
      <c r="G23" s="35" t="s">
        <v>361</v>
      </c>
      <c r="H23" s="47">
        <v>46186</v>
      </c>
      <c r="I23" s="48" t="s">
        <v>238</v>
      </c>
      <c r="J23" s="40" t="s">
        <v>224</v>
      </c>
      <c r="K23" t="s">
        <v>239</v>
      </c>
    </row>
    <row r="24" spans="1:11" x14ac:dyDescent="0.35">
      <c r="A24" t="s">
        <v>63</v>
      </c>
      <c r="B24" s="32">
        <v>9</v>
      </c>
      <c r="C24" t="s">
        <v>248</v>
      </c>
      <c r="D24" s="44">
        <f t="shared" si="1"/>
        <v>0.1</v>
      </c>
      <c r="E24" s="45">
        <f t="shared" si="2"/>
        <v>227726</v>
      </c>
      <c r="F24" s="46">
        <v>62000</v>
      </c>
      <c r="G24" s="35" t="s">
        <v>361</v>
      </c>
      <c r="H24" s="47">
        <v>46200</v>
      </c>
      <c r="I24" s="48" t="s">
        <v>238</v>
      </c>
      <c r="J24" s="40" t="s">
        <v>224</v>
      </c>
      <c r="K24" t="s">
        <v>239</v>
      </c>
    </row>
    <row r="25" spans="1:11" x14ac:dyDescent="0.35">
      <c r="A25" t="s">
        <v>63</v>
      </c>
      <c r="B25" s="32">
        <v>10</v>
      </c>
      <c r="C25" t="s">
        <v>249</v>
      </c>
      <c r="D25" s="44">
        <f t="shared" si="1"/>
        <v>0.1</v>
      </c>
      <c r="E25" s="45">
        <f t="shared" si="2"/>
        <v>227726</v>
      </c>
      <c r="F25" s="46">
        <v>62000</v>
      </c>
      <c r="G25" s="35" t="s">
        <v>361</v>
      </c>
      <c r="H25" s="47">
        <v>46214</v>
      </c>
      <c r="I25" s="48" t="s">
        <v>238</v>
      </c>
      <c r="J25" s="40" t="s">
        <v>224</v>
      </c>
      <c r="K25" t="s">
        <v>239</v>
      </c>
    </row>
    <row r="26" spans="1:11" x14ac:dyDescent="0.35">
      <c r="A26" t="s">
        <v>63</v>
      </c>
      <c r="B26" s="32">
        <v>11</v>
      </c>
      <c r="C26" t="s">
        <v>250</v>
      </c>
      <c r="D26" s="44">
        <f t="shared" si="1"/>
        <v>0.1</v>
      </c>
      <c r="E26" s="45">
        <f t="shared" si="2"/>
        <v>227726</v>
      </c>
      <c r="F26" s="46">
        <v>62000</v>
      </c>
      <c r="G26" s="35" t="s">
        <v>361</v>
      </c>
      <c r="H26" s="47">
        <v>46242</v>
      </c>
      <c r="I26" s="48" t="s">
        <v>238</v>
      </c>
      <c r="J26" s="40" t="s">
        <v>224</v>
      </c>
      <c r="K26" t="s">
        <v>239</v>
      </c>
    </row>
    <row r="27" spans="1:11" x14ac:dyDescent="0.35">
      <c r="A27" t="s">
        <v>63</v>
      </c>
      <c r="B27" s="32">
        <v>12</v>
      </c>
      <c r="C27" t="s">
        <v>251</v>
      </c>
      <c r="D27" s="44">
        <f t="shared" si="1"/>
        <v>0.05</v>
      </c>
      <c r="E27" s="45">
        <f t="shared" si="2"/>
        <v>113863</v>
      </c>
      <c r="F27" s="46">
        <v>31000</v>
      </c>
      <c r="G27" s="35" t="s">
        <v>361</v>
      </c>
      <c r="H27" s="47">
        <v>46256</v>
      </c>
      <c r="I27" s="48" t="s">
        <v>238</v>
      </c>
      <c r="J27" s="40" t="s">
        <v>224</v>
      </c>
      <c r="K27" t="s">
        <v>239</v>
      </c>
    </row>
    <row r="28" spans="1:11" x14ac:dyDescent="0.35">
      <c r="A28" t="s">
        <v>66</v>
      </c>
      <c r="B28" s="32">
        <v>1</v>
      </c>
      <c r="C28" t="s">
        <v>252</v>
      </c>
      <c r="D28" s="44">
        <f>F28/3500000</f>
        <v>4.2857142857142858E-2</v>
      </c>
      <c r="E28" s="45">
        <f t="shared" si="2"/>
        <v>550950</v>
      </c>
      <c r="F28" s="46">
        <v>150000</v>
      </c>
      <c r="G28" s="35" t="s">
        <v>362</v>
      </c>
      <c r="H28" s="74">
        <v>46147</v>
      </c>
      <c r="I28" s="48" t="s">
        <v>218</v>
      </c>
      <c r="J28" s="40" t="s">
        <v>363</v>
      </c>
    </row>
    <row r="29" spans="1:11" x14ac:dyDescent="0.35">
      <c r="A29" t="s">
        <v>66</v>
      </c>
      <c r="B29" s="32">
        <v>2</v>
      </c>
      <c r="C29" t="s">
        <v>253</v>
      </c>
      <c r="D29" s="44">
        <f>F29/3500000</f>
        <v>2.5714285714285714E-2</v>
      </c>
      <c r="E29" s="45">
        <f t="shared" si="2"/>
        <v>330570</v>
      </c>
      <c r="F29" s="46">
        <v>90000</v>
      </c>
      <c r="G29" s="35" t="s">
        <v>362</v>
      </c>
      <c r="H29" s="40">
        <v>46241</v>
      </c>
      <c r="I29" s="48" t="s">
        <v>218</v>
      </c>
      <c r="J29" s="40" t="s">
        <v>224</v>
      </c>
    </row>
    <row r="30" spans="1:11" x14ac:dyDescent="0.35">
      <c r="A30" t="s">
        <v>66</v>
      </c>
      <c r="B30" s="32">
        <v>3</v>
      </c>
      <c r="C30" t="s">
        <v>254</v>
      </c>
      <c r="D30" s="44">
        <f t="shared" ref="D30:D52" si="3">F30/3500000</f>
        <v>2.5714285714285714E-2</v>
      </c>
      <c r="E30" s="45">
        <f t="shared" si="2"/>
        <v>330570</v>
      </c>
      <c r="F30" s="46">
        <v>90000</v>
      </c>
      <c r="G30" s="35" t="s">
        <v>362</v>
      </c>
    </row>
    <row r="31" spans="1:11" x14ac:dyDescent="0.35">
      <c r="A31" t="s">
        <v>66</v>
      </c>
      <c r="B31" s="32">
        <v>4</v>
      </c>
      <c r="C31" t="s">
        <v>255</v>
      </c>
      <c r="D31" s="44">
        <f t="shared" si="3"/>
        <v>0.03</v>
      </c>
      <c r="E31" s="45">
        <f t="shared" si="2"/>
        <v>385665</v>
      </c>
      <c r="F31" s="46">
        <v>105000</v>
      </c>
      <c r="G31" s="35" t="s">
        <v>362</v>
      </c>
    </row>
    <row r="32" spans="1:11" x14ac:dyDescent="0.35">
      <c r="A32" t="s">
        <v>66</v>
      </c>
      <c r="B32" s="32">
        <v>5</v>
      </c>
      <c r="C32" t="s">
        <v>256</v>
      </c>
      <c r="D32" s="44">
        <f t="shared" si="3"/>
        <v>0.03</v>
      </c>
      <c r="E32" s="45">
        <f t="shared" si="2"/>
        <v>385665</v>
      </c>
      <c r="F32" s="46">
        <v>105000</v>
      </c>
      <c r="G32" s="35" t="s">
        <v>362</v>
      </c>
    </row>
    <row r="33" spans="1:7" x14ac:dyDescent="0.35">
      <c r="A33" t="s">
        <v>66</v>
      </c>
      <c r="B33" s="32">
        <v>6</v>
      </c>
      <c r="C33" t="s">
        <v>257</v>
      </c>
      <c r="D33" s="44">
        <f t="shared" si="3"/>
        <v>2.8571428571428571E-2</v>
      </c>
      <c r="E33" s="45">
        <f t="shared" si="2"/>
        <v>367300</v>
      </c>
      <c r="F33" s="46">
        <v>100000</v>
      </c>
      <c r="G33" s="35" t="s">
        <v>362</v>
      </c>
    </row>
    <row r="34" spans="1:7" x14ac:dyDescent="0.35">
      <c r="A34" t="s">
        <v>66</v>
      </c>
      <c r="B34" s="32">
        <v>7</v>
      </c>
      <c r="C34" t="s">
        <v>258</v>
      </c>
      <c r="D34" s="44">
        <f t="shared" si="3"/>
        <v>4.300751879699248E-2</v>
      </c>
      <c r="E34" s="45">
        <f t="shared" si="2"/>
        <v>552883.15789473685</v>
      </c>
      <c r="F34" s="46">
        <f>2860000/19</f>
        <v>150526.31578947368</v>
      </c>
      <c r="G34" s="35" t="s">
        <v>362</v>
      </c>
    </row>
    <row r="35" spans="1:7" x14ac:dyDescent="0.35">
      <c r="A35" t="s">
        <v>66</v>
      </c>
      <c r="B35" s="32">
        <v>8</v>
      </c>
      <c r="C35" t="s">
        <v>259</v>
      </c>
      <c r="D35" s="44">
        <f t="shared" si="3"/>
        <v>4.300751879699248E-2</v>
      </c>
      <c r="E35" s="45">
        <f t="shared" si="2"/>
        <v>552883.15789473685</v>
      </c>
      <c r="F35" s="46">
        <f t="shared" ref="F35:F52" si="4">2860000/19</f>
        <v>150526.31578947368</v>
      </c>
      <c r="G35" s="35" t="s">
        <v>362</v>
      </c>
    </row>
    <row r="36" spans="1:7" x14ac:dyDescent="0.35">
      <c r="A36" t="s">
        <v>66</v>
      </c>
      <c r="B36" s="32">
        <v>9</v>
      </c>
      <c r="C36" t="s">
        <v>260</v>
      </c>
      <c r="D36" s="44">
        <f t="shared" si="3"/>
        <v>4.300751879699248E-2</v>
      </c>
      <c r="E36" s="45">
        <f t="shared" si="2"/>
        <v>552883.15789473685</v>
      </c>
      <c r="F36" s="46">
        <f t="shared" si="4"/>
        <v>150526.31578947368</v>
      </c>
      <c r="G36" s="35" t="s">
        <v>362</v>
      </c>
    </row>
    <row r="37" spans="1:7" x14ac:dyDescent="0.35">
      <c r="A37" t="s">
        <v>66</v>
      </c>
      <c r="B37" s="32">
        <v>10</v>
      </c>
      <c r="C37" t="s">
        <v>261</v>
      </c>
      <c r="D37" s="44">
        <f t="shared" si="3"/>
        <v>4.300751879699248E-2</v>
      </c>
      <c r="E37" s="45">
        <f t="shared" si="2"/>
        <v>552883.15789473685</v>
      </c>
      <c r="F37" s="46">
        <f t="shared" si="4"/>
        <v>150526.31578947368</v>
      </c>
      <c r="G37" s="35" t="s">
        <v>362</v>
      </c>
    </row>
    <row r="38" spans="1:7" x14ac:dyDescent="0.35">
      <c r="A38" t="s">
        <v>66</v>
      </c>
      <c r="B38" s="32">
        <v>11</v>
      </c>
      <c r="C38" t="s">
        <v>262</v>
      </c>
      <c r="D38" s="44">
        <f t="shared" si="3"/>
        <v>4.300751879699248E-2</v>
      </c>
      <c r="E38" s="45">
        <f t="shared" si="2"/>
        <v>552883.15789473685</v>
      </c>
      <c r="F38" s="46">
        <f t="shared" si="4"/>
        <v>150526.31578947368</v>
      </c>
      <c r="G38" s="35" t="s">
        <v>362</v>
      </c>
    </row>
    <row r="39" spans="1:7" x14ac:dyDescent="0.35">
      <c r="A39" t="s">
        <v>66</v>
      </c>
      <c r="B39" s="32">
        <v>12</v>
      </c>
      <c r="C39" t="s">
        <v>263</v>
      </c>
      <c r="D39" s="44">
        <f t="shared" si="3"/>
        <v>4.300751879699248E-2</v>
      </c>
      <c r="E39" s="45">
        <f t="shared" si="2"/>
        <v>552883.15789473685</v>
      </c>
      <c r="F39" s="46">
        <f t="shared" si="4"/>
        <v>150526.31578947368</v>
      </c>
      <c r="G39" s="35" t="s">
        <v>362</v>
      </c>
    </row>
    <row r="40" spans="1:7" x14ac:dyDescent="0.35">
      <c r="A40" t="s">
        <v>66</v>
      </c>
      <c r="B40" s="32">
        <v>13</v>
      </c>
      <c r="C40" t="s">
        <v>264</v>
      </c>
      <c r="D40" s="44">
        <f t="shared" si="3"/>
        <v>4.300751879699248E-2</v>
      </c>
      <c r="E40" s="45">
        <f t="shared" si="2"/>
        <v>552883.15789473685</v>
      </c>
      <c r="F40" s="46">
        <f t="shared" si="4"/>
        <v>150526.31578947368</v>
      </c>
      <c r="G40" s="35" t="s">
        <v>362</v>
      </c>
    </row>
    <row r="41" spans="1:7" x14ac:dyDescent="0.35">
      <c r="A41" t="s">
        <v>66</v>
      </c>
      <c r="B41" s="32">
        <v>14</v>
      </c>
      <c r="C41" t="s">
        <v>265</v>
      </c>
      <c r="D41" s="44">
        <f t="shared" si="3"/>
        <v>4.300751879699248E-2</v>
      </c>
      <c r="E41" s="45">
        <f t="shared" si="2"/>
        <v>552883.15789473685</v>
      </c>
      <c r="F41" s="46">
        <f t="shared" si="4"/>
        <v>150526.31578947368</v>
      </c>
      <c r="G41" s="35" t="s">
        <v>362</v>
      </c>
    </row>
    <row r="42" spans="1:7" x14ac:dyDescent="0.35">
      <c r="A42" t="s">
        <v>66</v>
      </c>
      <c r="B42" s="32">
        <v>15</v>
      </c>
      <c r="C42" t="s">
        <v>266</v>
      </c>
      <c r="D42" s="44">
        <f t="shared" si="3"/>
        <v>4.300751879699248E-2</v>
      </c>
      <c r="E42" s="45">
        <f t="shared" si="2"/>
        <v>552883.15789473685</v>
      </c>
      <c r="F42" s="46">
        <f t="shared" si="4"/>
        <v>150526.31578947368</v>
      </c>
      <c r="G42" s="35" t="s">
        <v>362</v>
      </c>
    </row>
    <row r="43" spans="1:7" x14ac:dyDescent="0.35">
      <c r="A43" t="s">
        <v>66</v>
      </c>
      <c r="B43" s="32">
        <v>16</v>
      </c>
      <c r="C43" t="s">
        <v>267</v>
      </c>
      <c r="D43" s="44">
        <f t="shared" si="3"/>
        <v>4.300751879699248E-2</v>
      </c>
      <c r="E43" s="45">
        <f t="shared" si="2"/>
        <v>552883.15789473685</v>
      </c>
      <c r="F43" s="46">
        <f t="shared" si="4"/>
        <v>150526.31578947368</v>
      </c>
      <c r="G43" s="35" t="s">
        <v>362</v>
      </c>
    </row>
    <row r="44" spans="1:7" x14ac:dyDescent="0.35">
      <c r="A44" t="s">
        <v>66</v>
      </c>
      <c r="B44" s="32">
        <v>17</v>
      </c>
      <c r="C44" t="s">
        <v>268</v>
      </c>
      <c r="D44" s="44">
        <f t="shared" si="3"/>
        <v>4.300751879699248E-2</v>
      </c>
      <c r="E44" s="45">
        <f t="shared" si="2"/>
        <v>552883.15789473685</v>
      </c>
      <c r="F44" s="46">
        <f t="shared" si="4"/>
        <v>150526.31578947368</v>
      </c>
      <c r="G44" s="35" t="s">
        <v>362</v>
      </c>
    </row>
    <row r="45" spans="1:7" x14ac:dyDescent="0.35">
      <c r="A45" t="s">
        <v>66</v>
      </c>
      <c r="B45" s="32">
        <v>18</v>
      </c>
      <c r="C45" t="s">
        <v>269</v>
      </c>
      <c r="D45" s="44">
        <f t="shared" si="3"/>
        <v>4.300751879699248E-2</v>
      </c>
      <c r="E45" s="45">
        <f t="shared" si="2"/>
        <v>552883.15789473685</v>
      </c>
      <c r="F45" s="46">
        <f t="shared" si="4"/>
        <v>150526.31578947368</v>
      </c>
      <c r="G45" s="35" t="s">
        <v>362</v>
      </c>
    </row>
    <row r="46" spans="1:7" x14ac:dyDescent="0.35">
      <c r="A46" t="s">
        <v>66</v>
      </c>
      <c r="B46" s="32">
        <v>19</v>
      </c>
      <c r="C46" t="s">
        <v>270</v>
      </c>
      <c r="D46" s="44">
        <f t="shared" si="3"/>
        <v>4.300751879699248E-2</v>
      </c>
      <c r="E46" s="45">
        <f t="shared" si="2"/>
        <v>552883.15789473685</v>
      </c>
      <c r="F46" s="46">
        <f t="shared" si="4"/>
        <v>150526.31578947368</v>
      </c>
      <c r="G46" s="35" t="s">
        <v>362</v>
      </c>
    </row>
    <row r="47" spans="1:7" x14ac:dyDescent="0.35">
      <c r="A47" t="s">
        <v>66</v>
      </c>
      <c r="B47" s="32">
        <v>20</v>
      </c>
      <c r="C47" t="s">
        <v>271</v>
      </c>
      <c r="D47" s="44">
        <f t="shared" si="3"/>
        <v>4.300751879699248E-2</v>
      </c>
      <c r="E47" s="45">
        <f t="shared" si="2"/>
        <v>552883.15789473685</v>
      </c>
      <c r="F47" s="46">
        <f t="shared" si="4"/>
        <v>150526.31578947368</v>
      </c>
      <c r="G47" s="35" t="s">
        <v>362</v>
      </c>
    </row>
    <row r="48" spans="1:7" x14ac:dyDescent="0.35">
      <c r="A48" t="s">
        <v>66</v>
      </c>
      <c r="B48" s="32">
        <v>21</v>
      </c>
      <c r="C48" t="s">
        <v>272</v>
      </c>
      <c r="D48" s="44">
        <f t="shared" si="3"/>
        <v>4.300751879699248E-2</v>
      </c>
      <c r="E48" s="45">
        <f t="shared" si="2"/>
        <v>552883.15789473685</v>
      </c>
      <c r="F48" s="46">
        <f t="shared" si="4"/>
        <v>150526.31578947368</v>
      </c>
      <c r="G48" s="35" t="s">
        <v>362</v>
      </c>
    </row>
    <row r="49" spans="1:10" x14ac:dyDescent="0.35">
      <c r="A49" t="s">
        <v>66</v>
      </c>
      <c r="B49" s="32">
        <v>22</v>
      </c>
      <c r="C49" t="s">
        <v>273</v>
      </c>
      <c r="D49" s="44">
        <f t="shared" si="3"/>
        <v>4.300751879699248E-2</v>
      </c>
      <c r="E49" s="45">
        <f t="shared" si="2"/>
        <v>552883.15789473685</v>
      </c>
      <c r="F49" s="46">
        <f t="shared" si="4"/>
        <v>150526.31578947368</v>
      </c>
      <c r="G49" s="35" t="s">
        <v>362</v>
      </c>
    </row>
    <row r="50" spans="1:10" x14ac:dyDescent="0.35">
      <c r="A50" t="s">
        <v>66</v>
      </c>
      <c r="B50" s="32">
        <v>23</v>
      </c>
      <c r="C50" t="s">
        <v>274</v>
      </c>
      <c r="D50" s="44">
        <f t="shared" si="3"/>
        <v>4.300751879699248E-2</v>
      </c>
      <c r="E50" s="45">
        <f t="shared" si="2"/>
        <v>552883.15789473685</v>
      </c>
      <c r="F50" s="46">
        <f t="shared" si="4"/>
        <v>150526.31578947368</v>
      </c>
      <c r="G50" s="35" t="s">
        <v>362</v>
      </c>
    </row>
    <row r="51" spans="1:10" x14ac:dyDescent="0.35">
      <c r="A51" t="s">
        <v>66</v>
      </c>
      <c r="B51" s="32">
        <v>24</v>
      </c>
      <c r="C51" t="s">
        <v>275</v>
      </c>
      <c r="D51" s="44">
        <f t="shared" si="3"/>
        <v>4.300751879699248E-2</v>
      </c>
      <c r="E51" s="45">
        <f t="shared" si="2"/>
        <v>552883.15789473685</v>
      </c>
      <c r="F51" s="46">
        <f t="shared" si="4"/>
        <v>150526.31578947368</v>
      </c>
      <c r="G51" s="35" t="s">
        <v>362</v>
      </c>
    </row>
    <row r="52" spans="1:10" x14ac:dyDescent="0.35">
      <c r="A52" t="s">
        <v>66</v>
      </c>
      <c r="B52" s="32">
        <v>25</v>
      </c>
      <c r="C52" t="s">
        <v>276</v>
      </c>
      <c r="D52" s="44">
        <f t="shared" si="3"/>
        <v>4.300751879699248E-2</v>
      </c>
      <c r="E52" s="45">
        <f t="shared" si="2"/>
        <v>552883.15789473685</v>
      </c>
      <c r="F52" s="46">
        <f t="shared" si="4"/>
        <v>150526.31578947368</v>
      </c>
      <c r="G52" s="35" t="s">
        <v>362</v>
      </c>
    </row>
    <row r="53" spans="1:10" x14ac:dyDescent="0.35">
      <c r="A53" s="26" t="s">
        <v>277</v>
      </c>
      <c r="B53" s="27">
        <v>1</v>
      </c>
      <c r="C53" s="28" t="s">
        <v>278</v>
      </c>
      <c r="E53" s="49">
        <f t="shared" ref="E53:E116" si="5">F53*3.67</f>
        <v>1229450</v>
      </c>
      <c r="F53" s="50">
        <v>335000</v>
      </c>
      <c r="G53" s="35" t="s">
        <v>362</v>
      </c>
      <c r="H53" s="51" t="s">
        <v>279</v>
      </c>
      <c r="I53" s="51" t="s">
        <v>280</v>
      </c>
      <c r="J53" s="51" t="s">
        <v>219</v>
      </c>
    </row>
    <row r="54" spans="1:10" x14ac:dyDescent="0.35">
      <c r="A54" s="26" t="s">
        <v>277</v>
      </c>
      <c r="B54" s="27">
        <v>2</v>
      </c>
      <c r="C54" s="28" t="s">
        <v>237</v>
      </c>
      <c r="E54" s="49">
        <f t="shared" si="5"/>
        <v>605550</v>
      </c>
      <c r="F54" s="50">
        <v>165000</v>
      </c>
      <c r="G54" s="35" t="s">
        <v>362</v>
      </c>
      <c r="H54" s="51" t="s">
        <v>279</v>
      </c>
      <c r="I54" s="51" t="s">
        <v>280</v>
      </c>
      <c r="J54" s="51" t="s">
        <v>219</v>
      </c>
    </row>
    <row r="55" spans="1:10" x14ac:dyDescent="0.35">
      <c r="A55" s="26" t="s">
        <v>277</v>
      </c>
      <c r="B55" s="27">
        <v>3</v>
      </c>
      <c r="C55" s="28" t="s">
        <v>240</v>
      </c>
      <c r="E55" s="49">
        <f t="shared" si="5"/>
        <v>605550</v>
      </c>
      <c r="F55" s="50">
        <v>165000</v>
      </c>
      <c r="G55" s="35" t="s">
        <v>362</v>
      </c>
      <c r="H55" s="51">
        <v>46269</v>
      </c>
      <c r="I55" s="51" t="s">
        <v>280</v>
      </c>
      <c r="J55" s="52" t="s">
        <v>224</v>
      </c>
    </row>
    <row r="56" spans="1:10" x14ac:dyDescent="0.35">
      <c r="A56" s="26" t="s">
        <v>277</v>
      </c>
      <c r="B56" s="27">
        <v>4</v>
      </c>
      <c r="C56" s="28" t="s">
        <v>241</v>
      </c>
      <c r="E56" s="49">
        <f t="shared" si="5"/>
        <v>605550</v>
      </c>
      <c r="F56" s="50">
        <v>165000</v>
      </c>
      <c r="G56" s="35" t="s">
        <v>362</v>
      </c>
      <c r="H56" s="51">
        <v>46269</v>
      </c>
      <c r="I56" s="51" t="s">
        <v>280</v>
      </c>
      <c r="J56" s="52" t="s">
        <v>224</v>
      </c>
    </row>
    <row r="57" spans="1:10" x14ac:dyDescent="0.35">
      <c r="A57" s="26" t="s">
        <v>277</v>
      </c>
      <c r="B57" s="27">
        <v>5</v>
      </c>
      <c r="C57" s="29" t="s">
        <v>242</v>
      </c>
      <c r="E57" s="49">
        <f t="shared" si="5"/>
        <v>605550</v>
      </c>
      <c r="F57" s="50">
        <v>165000</v>
      </c>
      <c r="G57" s="35" t="s">
        <v>362</v>
      </c>
      <c r="H57" s="53">
        <v>46302</v>
      </c>
      <c r="I57" s="53" t="s">
        <v>281</v>
      </c>
      <c r="J57" s="52" t="s">
        <v>224</v>
      </c>
    </row>
    <row r="58" spans="1:10" x14ac:dyDescent="0.35">
      <c r="A58" s="26" t="s">
        <v>277</v>
      </c>
      <c r="B58" s="27">
        <v>6</v>
      </c>
      <c r="C58" s="29" t="s">
        <v>282</v>
      </c>
      <c r="E58" s="49">
        <f t="shared" si="5"/>
        <v>605550</v>
      </c>
      <c r="F58" s="50">
        <v>165000</v>
      </c>
      <c r="G58" s="35" t="s">
        <v>362</v>
      </c>
      <c r="H58" s="53">
        <v>46301</v>
      </c>
      <c r="I58" s="53" t="s">
        <v>283</v>
      </c>
      <c r="J58" s="52" t="s">
        <v>224</v>
      </c>
    </row>
    <row r="59" spans="1:10" x14ac:dyDescent="0.35">
      <c r="A59" s="26" t="s">
        <v>277</v>
      </c>
      <c r="B59" s="27">
        <v>7</v>
      </c>
      <c r="C59" s="29" t="s">
        <v>284</v>
      </c>
      <c r="E59" s="49">
        <f t="shared" si="5"/>
        <v>137625</v>
      </c>
      <c r="F59" s="50">
        <v>37500</v>
      </c>
      <c r="G59" s="35" t="s">
        <v>362</v>
      </c>
      <c r="H59" s="52" t="s">
        <v>285</v>
      </c>
      <c r="I59" s="52" t="s">
        <v>281</v>
      </c>
      <c r="J59" s="52" t="s">
        <v>224</v>
      </c>
    </row>
    <row r="60" spans="1:10" x14ac:dyDescent="0.35">
      <c r="A60" s="26" t="s">
        <v>277</v>
      </c>
      <c r="B60" s="27">
        <v>8</v>
      </c>
      <c r="C60" s="29" t="s">
        <v>286</v>
      </c>
      <c r="E60" s="49">
        <f t="shared" si="5"/>
        <v>137625</v>
      </c>
      <c r="F60" s="50">
        <v>37500</v>
      </c>
      <c r="G60" s="35" t="s">
        <v>362</v>
      </c>
      <c r="H60" s="54" t="s">
        <v>287</v>
      </c>
      <c r="I60" s="52" t="s">
        <v>223</v>
      </c>
      <c r="J60" s="52" t="s">
        <v>224</v>
      </c>
    </row>
    <row r="61" spans="1:10" x14ac:dyDescent="0.35">
      <c r="A61" s="26" t="s">
        <v>277</v>
      </c>
      <c r="B61" s="27">
        <v>9</v>
      </c>
      <c r="C61" s="29" t="s">
        <v>288</v>
      </c>
      <c r="E61" s="49">
        <f t="shared" si="5"/>
        <v>137625</v>
      </c>
      <c r="F61" s="50">
        <v>37500</v>
      </c>
      <c r="G61" s="35" t="s">
        <v>362</v>
      </c>
      <c r="H61" s="54" t="s">
        <v>287</v>
      </c>
      <c r="I61" s="52" t="s">
        <v>223</v>
      </c>
      <c r="J61" s="52" t="s">
        <v>224</v>
      </c>
    </row>
    <row r="62" spans="1:10" x14ac:dyDescent="0.35">
      <c r="A62" s="26" t="s">
        <v>277</v>
      </c>
      <c r="B62" s="27">
        <v>10</v>
      </c>
      <c r="C62" s="29" t="s">
        <v>289</v>
      </c>
      <c r="E62" s="49">
        <f t="shared" si="5"/>
        <v>137625</v>
      </c>
      <c r="F62" s="50">
        <v>37500</v>
      </c>
      <c r="G62" s="35" t="s">
        <v>362</v>
      </c>
      <c r="H62" s="54" t="s">
        <v>287</v>
      </c>
      <c r="I62" s="52" t="s">
        <v>223</v>
      </c>
      <c r="J62" s="52" t="s">
        <v>224</v>
      </c>
    </row>
    <row r="63" spans="1:10" x14ac:dyDescent="0.35">
      <c r="A63" s="26" t="s">
        <v>277</v>
      </c>
      <c r="B63" s="27">
        <v>11</v>
      </c>
      <c r="C63" s="29" t="s">
        <v>290</v>
      </c>
      <c r="E63" s="49">
        <f t="shared" si="5"/>
        <v>137625</v>
      </c>
      <c r="F63" s="50">
        <v>37500</v>
      </c>
      <c r="G63" s="35" t="s">
        <v>362</v>
      </c>
      <c r="H63" s="54" t="s">
        <v>291</v>
      </c>
      <c r="I63" s="52" t="s">
        <v>223</v>
      </c>
      <c r="J63" s="52" t="s">
        <v>224</v>
      </c>
    </row>
    <row r="64" spans="1:10" x14ac:dyDescent="0.35">
      <c r="A64" s="26" t="s">
        <v>277</v>
      </c>
      <c r="B64" s="27">
        <v>12</v>
      </c>
      <c r="C64" s="29" t="s">
        <v>292</v>
      </c>
      <c r="E64" s="49">
        <f t="shared" si="5"/>
        <v>137625</v>
      </c>
      <c r="F64" s="50">
        <v>37500</v>
      </c>
      <c r="G64" s="35" t="s">
        <v>362</v>
      </c>
      <c r="H64" s="54" t="s">
        <v>291</v>
      </c>
      <c r="I64" s="52" t="s">
        <v>223</v>
      </c>
      <c r="J64" s="52" t="s">
        <v>224</v>
      </c>
    </row>
    <row r="65" spans="1:10" x14ac:dyDescent="0.35">
      <c r="A65" s="26" t="s">
        <v>277</v>
      </c>
      <c r="B65" s="27">
        <v>13</v>
      </c>
      <c r="C65" s="29" t="s">
        <v>293</v>
      </c>
      <c r="E65" s="49">
        <f t="shared" si="5"/>
        <v>137625</v>
      </c>
      <c r="F65" s="50">
        <v>37500</v>
      </c>
      <c r="G65" s="35" t="s">
        <v>362</v>
      </c>
      <c r="H65" s="54" t="s">
        <v>291</v>
      </c>
      <c r="I65" s="52" t="s">
        <v>223</v>
      </c>
      <c r="J65" s="52" t="s">
        <v>224</v>
      </c>
    </row>
    <row r="66" spans="1:10" x14ac:dyDescent="0.35">
      <c r="A66" s="26" t="s">
        <v>277</v>
      </c>
      <c r="B66" s="27">
        <v>14</v>
      </c>
      <c r="C66" s="29" t="s">
        <v>294</v>
      </c>
      <c r="E66" s="49">
        <f t="shared" si="5"/>
        <v>137625</v>
      </c>
      <c r="F66" s="50">
        <v>37500</v>
      </c>
      <c r="G66" s="35" t="s">
        <v>362</v>
      </c>
      <c r="H66" s="54" t="s">
        <v>295</v>
      </c>
      <c r="I66" s="52" t="s">
        <v>223</v>
      </c>
      <c r="J66" s="52" t="s">
        <v>224</v>
      </c>
    </row>
    <row r="67" spans="1:10" x14ac:dyDescent="0.35">
      <c r="A67" s="26" t="s">
        <v>277</v>
      </c>
      <c r="B67" s="27">
        <v>15</v>
      </c>
      <c r="C67" s="29" t="s">
        <v>296</v>
      </c>
      <c r="E67" s="49">
        <f t="shared" si="5"/>
        <v>137625</v>
      </c>
      <c r="F67" s="50">
        <v>37500</v>
      </c>
      <c r="G67" s="35" t="s">
        <v>362</v>
      </c>
      <c r="H67" s="54" t="s">
        <v>295</v>
      </c>
      <c r="I67" s="52" t="s">
        <v>223</v>
      </c>
      <c r="J67" s="52" t="s">
        <v>224</v>
      </c>
    </row>
    <row r="68" spans="1:10" x14ac:dyDescent="0.35">
      <c r="A68" s="26" t="s">
        <v>277</v>
      </c>
      <c r="B68" s="27">
        <v>16</v>
      </c>
      <c r="C68" s="29" t="s">
        <v>297</v>
      </c>
      <c r="E68" s="49">
        <f t="shared" si="5"/>
        <v>137625</v>
      </c>
      <c r="F68" s="50">
        <v>37500</v>
      </c>
      <c r="G68" s="35" t="s">
        <v>362</v>
      </c>
      <c r="H68" s="54" t="s">
        <v>298</v>
      </c>
      <c r="I68" s="52" t="s">
        <v>223</v>
      </c>
      <c r="J68" s="52" t="s">
        <v>224</v>
      </c>
    </row>
    <row r="69" spans="1:10" x14ac:dyDescent="0.35">
      <c r="A69" s="26" t="s">
        <v>277</v>
      </c>
      <c r="B69" s="27">
        <v>17</v>
      </c>
      <c r="C69" s="29" t="s">
        <v>299</v>
      </c>
      <c r="E69" s="49">
        <f t="shared" si="5"/>
        <v>137625</v>
      </c>
      <c r="F69" s="50">
        <v>37500</v>
      </c>
      <c r="G69" s="35" t="s">
        <v>362</v>
      </c>
      <c r="H69" s="54" t="s">
        <v>298</v>
      </c>
      <c r="I69" s="52" t="s">
        <v>223</v>
      </c>
      <c r="J69" s="52" t="s">
        <v>224</v>
      </c>
    </row>
    <row r="70" spans="1:10" x14ac:dyDescent="0.35">
      <c r="A70" s="26" t="s">
        <v>277</v>
      </c>
      <c r="B70" s="27">
        <v>18</v>
      </c>
      <c r="C70" s="29" t="s">
        <v>300</v>
      </c>
      <c r="E70" s="49">
        <f t="shared" si="5"/>
        <v>137625</v>
      </c>
      <c r="F70" s="50">
        <v>37500</v>
      </c>
      <c r="G70" s="35" t="s">
        <v>362</v>
      </c>
      <c r="H70" s="54" t="s">
        <v>298</v>
      </c>
      <c r="I70" s="52" t="s">
        <v>223</v>
      </c>
      <c r="J70" s="52" t="s">
        <v>224</v>
      </c>
    </row>
    <row r="71" spans="1:10" x14ac:dyDescent="0.35">
      <c r="A71" s="26" t="s">
        <v>277</v>
      </c>
      <c r="B71" s="27">
        <v>19</v>
      </c>
      <c r="C71" s="29" t="s">
        <v>301</v>
      </c>
      <c r="E71" s="49">
        <f t="shared" si="5"/>
        <v>137625</v>
      </c>
      <c r="F71" s="50">
        <v>37500</v>
      </c>
      <c r="G71" s="35" t="s">
        <v>362</v>
      </c>
      <c r="H71" s="54" t="s">
        <v>302</v>
      </c>
      <c r="I71" s="52" t="s">
        <v>223</v>
      </c>
      <c r="J71" s="52" t="s">
        <v>224</v>
      </c>
    </row>
    <row r="72" spans="1:10" x14ac:dyDescent="0.35">
      <c r="A72" s="26" t="s">
        <v>277</v>
      </c>
      <c r="B72" s="27">
        <v>20</v>
      </c>
      <c r="C72" s="29" t="s">
        <v>303</v>
      </c>
      <c r="E72" s="49">
        <f t="shared" si="5"/>
        <v>137625</v>
      </c>
      <c r="F72" s="50">
        <v>37500</v>
      </c>
      <c r="G72" s="35" t="s">
        <v>362</v>
      </c>
      <c r="H72" s="54" t="s">
        <v>302</v>
      </c>
      <c r="I72" s="52" t="s">
        <v>223</v>
      </c>
      <c r="J72" s="52" t="s">
        <v>224</v>
      </c>
    </row>
    <row r="73" spans="1:10" x14ac:dyDescent="0.35">
      <c r="A73" s="26" t="s">
        <v>277</v>
      </c>
      <c r="B73" s="27">
        <v>21</v>
      </c>
      <c r="C73" s="29" t="s">
        <v>304</v>
      </c>
      <c r="E73" s="49">
        <f t="shared" si="5"/>
        <v>137625</v>
      </c>
      <c r="F73" s="50">
        <v>37500</v>
      </c>
      <c r="G73" s="35" t="s">
        <v>362</v>
      </c>
      <c r="H73" s="54" t="s">
        <v>302</v>
      </c>
      <c r="I73" s="52" t="s">
        <v>223</v>
      </c>
      <c r="J73" s="52" t="s">
        <v>224</v>
      </c>
    </row>
    <row r="74" spans="1:10" x14ac:dyDescent="0.35">
      <c r="A74" s="26" t="s">
        <v>277</v>
      </c>
      <c r="B74" s="27">
        <v>22</v>
      </c>
      <c r="C74" s="29" t="s">
        <v>305</v>
      </c>
      <c r="E74" s="49">
        <f t="shared" si="5"/>
        <v>137625</v>
      </c>
      <c r="F74" s="50">
        <v>37500</v>
      </c>
      <c r="G74" s="35" t="s">
        <v>362</v>
      </c>
      <c r="H74" s="54" t="s">
        <v>306</v>
      </c>
      <c r="I74" s="52" t="s">
        <v>223</v>
      </c>
      <c r="J74" s="52" t="s">
        <v>224</v>
      </c>
    </row>
    <row r="75" spans="1:10" x14ac:dyDescent="0.35">
      <c r="A75" s="26" t="s">
        <v>277</v>
      </c>
      <c r="B75" s="27">
        <v>23</v>
      </c>
      <c r="C75" s="29" t="s">
        <v>307</v>
      </c>
      <c r="E75" s="49">
        <f t="shared" si="5"/>
        <v>137625</v>
      </c>
      <c r="F75" s="50">
        <v>37500</v>
      </c>
      <c r="G75" s="35" t="s">
        <v>362</v>
      </c>
      <c r="H75" s="54" t="s">
        <v>306</v>
      </c>
      <c r="I75" s="52" t="s">
        <v>223</v>
      </c>
      <c r="J75" s="52" t="s">
        <v>224</v>
      </c>
    </row>
    <row r="76" spans="1:10" x14ac:dyDescent="0.35">
      <c r="A76" s="26" t="s">
        <v>277</v>
      </c>
      <c r="B76" s="27">
        <v>24</v>
      </c>
      <c r="C76" s="29" t="s">
        <v>308</v>
      </c>
      <c r="E76" s="49">
        <f t="shared" si="5"/>
        <v>137625</v>
      </c>
      <c r="F76" s="50">
        <v>37500</v>
      </c>
      <c r="G76" s="35" t="s">
        <v>362</v>
      </c>
      <c r="H76" s="54" t="s">
        <v>306</v>
      </c>
      <c r="I76" s="52" t="s">
        <v>223</v>
      </c>
      <c r="J76" s="52" t="s">
        <v>224</v>
      </c>
    </row>
    <row r="77" spans="1:10" x14ac:dyDescent="0.35">
      <c r="A77" s="26" t="s">
        <v>277</v>
      </c>
      <c r="B77" s="27">
        <v>25</v>
      </c>
      <c r="C77" s="29" t="s">
        <v>309</v>
      </c>
      <c r="E77" s="49">
        <f t="shared" si="5"/>
        <v>137625</v>
      </c>
      <c r="F77" s="50">
        <v>37500</v>
      </c>
      <c r="G77" s="35" t="s">
        <v>362</v>
      </c>
      <c r="H77" s="54" t="s">
        <v>310</v>
      </c>
      <c r="I77" s="52" t="s">
        <v>223</v>
      </c>
      <c r="J77" s="52" t="s">
        <v>224</v>
      </c>
    </row>
    <row r="78" spans="1:10" x14ac:dyDescent="0.35">
      <c r="A78" s="26" t="s">
        <v>277</v>
      </c>
      <c r="B78" s="27">
        <v>26</v>
      </c>
      <c r="C78" s="29" t="s">
        <v>311</v>
      </c>
      <c r="E78" s="49">
        <f t="shared" si="5"/>
        <v>137625</v>
      </c>
      <c r="F78" s="50">
        <v>37500</v>
      </c>
      <c r="G78" s="35" t="s">
        <v>362</v>
      </c>
      <c r="H78" s="54" t="s">
        <v>310</v>
      </c>
      <c r="I78" s="52" t="s">
        <v>223</v>
      </c>
      <c r="J78" s="52" t="s">
        <v>224</v>
      </c>
    </row>
    <row r="79" spans="1:10" x14ac:dyDescent="0.35">
      <c r="A79" s="26" t="s">
        <v>277</v>
      </c>
      <c r="B79" s="27">
        <v>27</v>
      </c>
      <c r="C79" s="29" t="s">
        <v>312</v>
      </c>
      <c r="E79" s="49">
        <f t="shared" si="5"/>
        <v>137625</v>
      </c>
      <c r="F79" s="50">
        <v>37500</v>
      </c>
      <c r="G79" s="35" t="s">
        <v>362</v>
      </c>
      <c r="H79" s="54" t="s">
        <v>310</v>
      </c>
      <c r="I79" s="52" t="s">
        <v>223</v>
      </c>
      <c r="J79" s="52" t="s">
        <v>224</v>
      </c>
    </row>
    <row r="80" spans="1:10" x14ac:dyDescent="0.35">
      <c r="A80" s="26" t="s">
        <v>277</v>
      </c>
      <c r="B80" s="27">
        <v>28</v>
      </c>
      <c r="C80" s="29" t="s">
        <v>313</v>
      </c>
      <c r="E80" s="49">
        <f t="shared" si="5"/>
        <v>137625</v>
      </c>
      <c r="F80" s="50">
        <v>37500</v>
      </c>
      <c r="G80" s="35" t="s">
        <v>362</v>
      </c>
      <c r="H80" s="54" t="s">
        <v>314</v>
      </c>
      <c r="I80" s="52" t="s">
        <v>223</v>
      </c>
      <c r="J80" s="52" t="s">
        <v>224</v>
      </c>
    </row>
    <row r="81" spans="1:10" x14ac:dyDescent="0.35">
      <c r="A81" s="26" t="s">
        <v>277</v>
      </c>
      <c r="B81" s="27">
        <v>29</v>
      </c>
      <c r="C81" s="29" t="s">
        <v>315</v>
      </c>
      <c r="E81" s="49">
        <f t="shared" si="5"/>
        <v>137625</v>
      </c>
      <c r="F81" s="50">
        <v>37500</v>
      </c>
      <c r="G81" s="35" t="s">
        <v>362</v>
      </c>
      <c r="H81" s="54" t="s">
        <v>314</v>
      </c>
      <c r="I81" s="52" t="s">
        <v>223</v>
      </c>
      <c r="J81" s="52" t="s">
        <v>224</v>
      </c>
    </row>
    <row r="82" spans="1:10" x14ac:dyDescent="0.35">
      <c r="A82" s="26" t="s">
        <v>277</v>
      </c>
      <c r="B82" s="27">
        <v>30</v>
      </c>
      <c r="C82" s="29" t="s">
        <v>316</v>
      </c>
      <c r="E82" s="49">
        <f t="shared" si="5"/>
        <v>137625</v>
      </c>
      <c r="F82" s="50">
        <v>37500</v>
      </c>
      <c r="G82" s="35" t="s">
        <v>362</v>
      </c>
      <c r="H82" s="54" t="s">
        <v>314</v>
      </c>
      <c r="I82" s="52" t="s">
        <v>223</v>
      </c>
      <c r="J82" s="52" t="s">
        <v>224</v>
      </c>
    </row>
    <row r="83" spans="1:10" x14ac:dyDescent="0.35">
      <c r="A83" s="26" t="s">
        <v>277</v>
      </c>
      <c r="B83" s="27">
        <v>31</v>
      </c>
      <c r="C83" s="29" t="s">
        <v>317</v>
      </c>
      <c r="E83" s="49">
        <f t="shared" si="5"/>
        <v>137625</v>
      </c>
      <c r="F83" s="50">
        <v>37500</v>
      </c>
      <c r="G83" s="35" t="s">
        <v>362</v>
      </c>
      <c r="H83" s="54" t="s">
        <v>318</v>
      </c>
      <c r="I83" s="52" t="s">
        <v>223</v>
      </c>
      <c r="J83" s="52" t="s">
        <v>224</v>
      </c>
    </row>
    <row r="84" spans="1:10" x14ac:dyDescent="0.35">
      <c r="A84" s="26" t="s">
        <v>277</v>
      </c>
      <c r="B84" s="27">
        <v>32</v>
      </c>
      <c r="C84" s="29" t="s">
        <v>319</v>
      </c>
      <c r="E84" s="49">
        <f t="shared" si="5"/>
        <v>137625</v>
      </c>
      <c r="F84" s="50">
        <v>37500</v>
      </c>
      <c r="G84" s="35" t="s">
        <v>362</v>
      </c>
      <c r="H84" s="54" t="s">
        <v>318</v>
      </c>
      <c r="I84" s="52" t="s">
        <v>223</v>
      </c>
      <c r="J84" s="52" t="s">
        <v>224</v>
      </c>
    </row>
    <row r="85" spans="1:10" x14ac:dyDescent="0.35">
      <c r="A85" s="26" t="s">
        <v>277</v>
      </c>
      <c r="B85" s="27">
        <v>33</v>
      </c>
      <c r="C85" s="29" t="s">
        <v>320</v>
      </c>
      <c r="E85" s="49">
        <f t="shared" si="5"/>
        <v>137625</v>
      </c>
      <c r="F85" s="50">
        <v>37500</v>
      </c>
      <c r="G85" s="35" t="s">
        <v>362</v>
      </c>
      <c r="H85" s="54" t="s">
        <v>318</v>
      </c>
      <c r="I85" s="52" t="s">
        <v>223</v>
      </c>
      <c r="J85" s="52" t="s">
        <v>224</v>
      </c>
    </row>
    <row r="86" spans="1:10" x14ac:dyDescent="0.35">
      <c r="A86" s="26" t="s">
        <v>277</v>
      </c>
      <c r="B86" s="27">
        <v>34</v>
      </c>
      <c r="C86" s="29" t="s">
        <v>321</v>
      </c>
      <c r="E86" s="49">
        <f t="shared" si="5"/>
        <v>137625</v>
      </c>
      <c r="F86" s="50">
        <v>37500</v>
      </c>
      <c r="G86" s="35" t="s">
        <v>362</v>
      </c>
      <c r="H86" s="54" t="s">
        <v>322</v>
      </c>
      <c r="I86" s="52" t="s">
        <v>223</v>
      </c>
      <c r="J86" s="52" t="s">
        <v>224</v>
      </c>
    </row>
    <row r="87" spans="1:10" x14ac:dyDescent="0.35">
      <c r="A87" s="26" t="s">
        <v>277</v>
      </c>
      <c r="B87" s="27">
        <v>35</v>
      </c>
      <c r="C87" s="29" t="s">
        <v>323</v>
      </c>
      <c r="E87" s="49">
        <f t="shared" si="5"/>
        <v>137625</v>
      </c>
      <c r="F87" s="50">
        <v>37500</v>
      </c>
      <c r="G87" s="35" t="s">
        <v>362</v>
      </c>
      <c r="H87" s="54" t="s">
        <v>322</v>
      </c>
      <c r="I87" s="52" t="s">
        <v>223</v>
      </c>
      <c r="J87" s="52" t="s">
        <v>224</v>
      </c>
    </row>
    <row r="88" spans="1:10" x14ac:dyDescent="0.35">
      <c r="A88" s="26" t="s">
        <v>277</v>
      </c>
      <c r="B88" s="27">
        <v>36</v>
      </c>
      <c r="C88" s="29" t="s">
        <v>324</v>
      </c>
      <c r="E88" s="49">
        <f t="shared" si="5"/>
        <v>137625</v>
      </c>
      <c r="F88" s="50">
        <v>37500</v>
      </c>
      <c r="G88" s="35" t="s">
        <v>362</v>
      </c>
      <c r="H88" s="54" t="s">
        <v>322</v>
      </c>
      <c r="I88" s="52" t="s">
        <v>223</v>
      </c>
      <c r="J88" s="52" t="s">
        <v>224</v>
      </c>
    </row>
    <row r="89" spans="1:10" x14ac:dyDescent="0.35">
      <c r="A89" s="26" t="s">
        <v>277</v>
      </c>
      <c r="B89" s="27">
        <v>37</v>
      </c>
      <c r="C89" s="29" t="s">
        <v>325</v>
      </c>
      <c r="E89" s="49">
        <f t="shared" si="5"/>
        <v>137625</v>
      </c>
      <c r="F89" s="50">
        <v>37500</v>
      </c>
      <c r="G89" s="35" t="s">
        <v>362</v>
      </c>
      <c r="H89" s="54" t="s">
        <v>326</v>
      </c>
      <c r="I89" s="52" t="s">
        <v>223</v>
      </c>
      <c r="J89" s="52" t="s">
        <v>224</v>
      </c>
    </row>
    <row r="90" spans="1:10" x14ac:dyDescent="0.35">
      <c r="A90" s="26" t="s">
        <v>277</v>
      </c>
      <c r="B90" s="27">
        <v>38</v>
      </c>
      <c r="C90" s="29" t="s">
        <v>327</v>
      </c>
      <c r="E90" s="49">
        <f t="shared" si="5"/>
        <v>137625</v>
      </c>
      <c r="F90" s="50">
        <v>37500</v>
      </c>
      <c r="G90" s="35" t="s">
        <v>362</v>
      </c>
      <c r="H90" s="54" t="s">
        <v>326</v>
      </c>
      <c r="I90" s="52" t="s">
        <v>223</v>
      </c>
      <c r="J90" s="52" t="s">
        <v>224</v>
      </c>
    </row>
    <row r="91" spans="1:10" x14ac:dyDescent="0.35">
      <c r="A91" s="26" t="s">
        <v>277</v>
      </c>
      <c r="B91" s="27">
        <v>39</v>
      </c>
      <c r="C91" s="29" t="s">
        <v>328</v>
      </c>
      <c r="E91" s="49">
        <f t="shared" si="5"/>
        <v>137625</v>
      </c>
      <c r="F91" s="50">
        <v>37500</v>
      </c>
      <c r="G91" s="35" t="s">
        <v>362</v>
      </c>
      <c r="H91" s="54" t="s">
        <v>326</v>
      </c>
      <c r="I91" s="52" t="s">
        <v>223</v>
      </c>
      <c r="J91" s="52" t="s">
        <v>224</v>
      </c>
    </row>
    <row r="92" spans="1:10" x14ac:dyDescent="0.35">
      <c r="A92" s="26" t="s">
        <v>277</v>
      </c>
      <c r="B92" s="27">
        <v>40</v>
      </c>
      <c r="C92" s="29" t="s">
        <v>329</v>
      </c>
      <c r="E92" s="49">
        <f t="shared" si="5"/>
        <v>137625</v>
      </c>
      <c r="F92" s="50">
        <v>37500</v>
      </c>
      <c r="G92" s="35" t="s">
        <v>362</v>
      </c>
      <c r="H92" s="72" t="s">
        <v>330</v>
      </c>
      <c r="I92" s="52" t="s">
        <v>223</v>
      </c>
      <c r="J92" s="52" t="s">
        <v>224</v>
      </c>
    </row>
    <row r="93" spans="1:10" x14ac:dyDescent="0.35">
      <c r="A93" s="26" t="s">
        <v>277</v>
      </c>
      <c r="B93" s="27">
        <v>41</v>
      </c>
      <c r="C93" s="29" t="s">
        <v>331</v>
      </c>
      <c r="E93" s="49">
        <f t="shared" si="5"/>
        <v>137625</v>
      </c>
      <c r="F93" s="50">
        <v>37500</v>
      </c>
      <c r="G93" s="35" t="s">
        <v>362</v>
      </c>
      <c r="H93" s="72" t="s">
        <v>330</v>
      </c>
      <c r="I93" s="52" t="s">
        <v>223</v>
      </c>
      <c r="J93" s="52" t="s">
        <v>224</v>
      </c>
    </row>
    <row r="94" spans="1:10" x14ac:dyDescent="0.35">
      <c r="A94" s="26" t="s">
        <v>277</v>
      </c>
      <c r="B94" s="27">
        <v>42</v>
      </c>
      <c r="C94" s="29" t="s">
        <v>332</v>
      </c>
      <c r="E94" s="49">
        <f t="shared" si="5"/>
        <v>137625</v>
      </c>
      <c r="F94" s="50">
        <v>37500</v>
      </c>
      <c r="G94" s="35" t="s">
        <v>362</v>
      </c>
      <c r="H94" s="72" t="s">
        <v>330</v>
      </c>
      <c r="I94" s="52" t="s">
        <v>223</v>
      </c>
      <c r="J94" s="52" t="s">
        <v>224</v>
      </c>
    </row>
    <row r="95" spans="1:10" x14ac:dyDescent="0.35">
      <c r="A95" s="26" t="s">
        <v>277</v>
      </c>
      <c r="B95" s="27">
        <v>43</v>
      </c>
      <c r="C95" s="29" t="s">
        <v>333</v>
      </c>
      <c r="E95" s="49">
        <f t="shared" si="5"/>
        <v>137625</v>
      </c>
      <c r="F95" s="50">
        <v>37500</v>
      </c>
      <c r="G95" s="35" t="s">
        <v>362</v>
      </c>
      <c r="H95" s="72" t="s">
        <v>330</v>
      </c>
      <c r="I95" s="52" t="s">
        <v>223</v>
      </c>
      <c r="J95" s="52" t="s">
        <v>224</v>
      </c>
    </row>
    <row r="96" spans="1:10" x14ac:dyDescent="0.35">
      <c r="A96" s="26" t="s">
        <v>277</v>
      </c>
      <c r="B96" s="27">
        <v>44</v>
      </c>
      <c r="C96" s="29" t="s">
        <v>334</v>
      </c>
      <c r="E96" s="49">
        <f t="shared" si="5"/>
        <v>137625</v>
      </c>
      <c r="F96" s="50">
        <v>37500</v>
      </c>
      <c r="G96" s="35" t="s">
        <v>362</v>
      </c>
      <c r="H96" s="72" t="s">
        <v>330</v>
      </c>
      <c r="I96" s="52" t="s">
        <v>223</v>
      </c>
      <c r="J96" s="52" t="s">
        <v>224</v>
      </c>
    </row>
    <row r="97" spans="1:10" x14ac:dyDescent="0.35">
      <c r="A97" s="26" t="s">
        <v>277</v>
      </c>
      <c r="B97" s="27">
        <v>45</v>
      </c>
      <c r="C97" s="29" t="s">
        <v>335</v>
      </c>
      <c r="E97" s="49">
        <f t="shared" si="5"/>
        <v>137625</v>
      </c>
      <c r="F97" s="50">
        <v>37500</v>
      </c>
      <c r="G97" s="35" t="s">
        <v>362</v>
      </c>
      <c r="H97" s="72" t="s">
        <v>330</v>
      </c>
      <c r="I97" s="52" t="s">
        <v>223</v>
      </c>
      <c r="J97" s="52" t="s">
        <v>224</v>
      </c>
    </row>
    <row r="98" spans="1:10" x14ac:dyDescent="0.35">
      <c r="A98" s="26" t="s">
        <v>277</v>
      </c>
      <c r="B98" s="27">
        <v>46</v>
      </c>
      <c r="C98" s="29" t="s">
        <v>336</v>
      </c>
      <c r="E98" s="49">
        <f t="shared" si="5"/>
        <v>137625</v>
      </c>
      <c r="F98" s="50">
        <v>37500</v>
      </c>
      <c r="G98" s="35" t="s">
        <v>362</v>
      </c>
      <c r="H98" s="72" t="s">
        <v>330</v>
      </c>
      <c r="I98" s="52" t="s">
        <v>223</v>
      </c>
      <c r="J98" s="52" t="s">
        <v>224</v>
      </c>
    </row>
    <row r="99" spans="1:10" x14ac:dyDescent="0.35">
      <c r="A99" s="26" t="s">
        <v>277</v>
      </c>
      <c r="B99" s="27">
        <v>47</v>
      </c>
      <c r="C99" s="29" t="s">
        <v>337</v>
      </c>
      <c r="E99" s="49">
        <f t="shared" si="5"/>
        <v>137625</v>
      </c>
      <c r="F99" s="50">
        <v>37500</v>
      </c>
      <c r="G99" s="35" t="s">
        <v>362</v>
      </c>
      <c r="H99" s="72" t="s">
        <v>330</v>
      </c>
      <c r="I99" s="52" t="s">
        <v>223</v>
      </c>
      <c r="J99" s="52" t="s">
        <v>224</v>
      </c>
    </row>
    <row r="100" spans="1:10" x14ac:dyDescent="0.35">
      <c r="A100" s="26" t="s">
        <v>277</v>
      </c>
      <c r="B100" s="27">
        <v>48</v>
      </c>
      <c r="C100" s="29" t="s">
        <v>338</v>
      </c>
      <c r="E100" s="49">
        <f t="shared" si="5"/>
        <v>137625</v>
      </c>
      <c r="F100" s="50">
        <v>37500</v>
      </c>
      <c r="G100" s="35" t="s">
        <v>362</v>
      </c>
      <c r="H100" s="72" t="s">
        <v>330</v>
      </c>
      <c r="I100" s="52" t="s">
        <v>223</v>
      </c>
      <c r="J100" s="52" t="s">
        <v>224</v>
      </c>
    </row>
    <row r="101" spans="1:10" x14ac:dyDescent="0.35">
      <c r="A101" s="26" t="s">
        <v>277</v>
      </c>
      <c r="B101" s="27">
        <v>49</v>
      </c>
      <c r="C101" s="29" t="s">
        <v>339</v>
      </c>
      <c r="E101" s="49">
        <f t="shared" si="5"/>
        <v>137625</v>
      </c>
      <c r="F101" s="50">
        <v>37500</v>
      </c>
      <c r="G101" s="35" t="s">
        <v>362</v>
      </c>
      <c r="H101" s="72" t="s">
        <v>330</v>
      </c>
      <c r="I101" s="52" t="s">
        <v>223</v>
      </c>
      <c r="J101" s="52" t="s">
        <v>224</v>
      </c>
    </row>
    <row r="102" spans="1:10" x14ac:dyDescent="0.35">
      <c r="A102" s="26" t="s">
        <v>277</v>
      </c>
      <c r="B102" s="27">
        <v>50</v>
      </c>
      <c r="C102" s="29" t="s">
        <v>340</v>
      </c>
      <c r="E102" s="49">
        <f t="shared" si="5"/>
        <v>137625</v>
      </c>
      <c r="F102" s="50">
        <v>37500</v>
      </c>
      <c r="G102" s="35" t="s">
        <v>362</v>
      </c>
      <c r="H102" s="72" t="s">
        <v>330</v>
      </c>
      <c r="I102" s="52" t="s">
        <v>223</v>
      </c>
      <c r="J102" s="52" t="s">
        <v>224</v>
      </c>
    </row>
    <row r="103" spans="1:10" x14ac:dyDescent="0.35">
      <c r="A103" s="26" t="s">
        <v>277</v>
      </c>
      <c r="B103" s="27">
        <v>51</v>
      </c>
      <c r="C103" s="29" t="s">
        <v>341</v>
      </c>
      <c r="E103" s="49">
        <f t="shared" si="5"/>
        <v>137625</v>
      </c>
      <c r="F103" s="50">
        <v>37500</v>
      </c>
      <c r="G103" s="35" t="s">
        <v>362</v>
      </c>
      <c r="H103" s="72" t="s">
        <v>330</v>
      </c>
      <c r="I103" s="52" t="s">
        <v>223</v>
      </c>
      <c r="J103" s="52" t="s">
        <v>224</v>
      </c>
    </row>
    <row r="104" spans="1:10" x14ac:dyDescent="0.35">
      <c r="A104" s="26" t="s">
        <v>277</v>
      </c>
      <c r="B104" s="27">
        <v>52</v>
      </c>
      <c r="C104" s="29" t="s">
        <v>342</v>
      </c>
      <c r="E104" s="49">
        <f t="shared" si="5"/>
        <v>137625</v>
      </c>
      <c r="F104" s="50">
        <v>37500</v>
      </c>
      <c r="G104" s="35" t="s">
        <v>362</v>
      </c>
      <c r="H104" s="72" t="s">
        <v>330</v>
      </c>
      <c r="I104" s="52" t="s">
        <v>223</v>
      </c>
      <c r="J104" s="52" t="s">
        <v>224</v>
      </c>
    </row>
    <row r="105" spans="1:10" x14ac:dyDescent="0.35">
      <c r="A105" s="26" t="s">
        <v>277</v>
      </c>
      <c r="B105" s="27">
        <v>53</v>
      </c>
      <c r="C105" s="29" t="s">
        <v>343</v>
      </c>
      <c r="E105" s="49">
        <f t="shared" si="5"/>
        <v>137625</v>
      </c>
      <c r="F105" s="50">
        <v>37500</v>
      </c>
      <c r="G105" s="35" t="s">
        <v>362</v>
      </c>
      <c r="H105" s="72" t="s">
        <v>330</v>
      </c>
      <c r="I105" s="52" t="s">
        <v>223</v>
      </c>
      <c r="J105" s="52" t="s">
        <v>224</v>
      </c>
    </row>
    <row r="106" spans="1:10" x14ac:dyDescent="0.35">
      <c r="A106" s="26" t="s">
        <v>277</v>
      </c>
      <c r="B106" s="27">
        <v>54</v>
      </c>
      <c r="C106" s="29" t="s">
        <v>344</v>
      </c>
      <c r="E106" s="49">
        <f t="shared" si="5"/>
        <v>137625</v>
      </c>
      <c r="F106" s="50">
        <v>37500</v>
      </c>
      <c r="G106" s="35" t="s">
        <v>362</v>
      </c>
      <c r="H106" s="72" t="s">
        <v>330</v>
      </c>
      <c r="I106" s="52" t="s">
        <v>223</v>
      </c>
      <c r="J106" s="52" t="s">
        <v>224</v>
      </c>
    </row>
    <row r="107" spans="1:10" x14ac:dyDescent="0.35">
      <c r="A107" s="26" t="s">
        <v>277</v>
      </c>
      <c r="B107" s="27">
        <v>55</v>
      </c>
      <c r="C107" s="29" t="s">
        <v>345</v>
      </c>
      <c r="E107" s="49">
        <f t="shared" si="5"/>
        <v>137625</v>
      </c>
      <c r="F107" s="50">
        <v>37500</v>
      </c>
      <c r="G107" s="35" t="s">
        <v>362</v>
      </c>
      <c r="H107" s="72" t="s">
        <v>330</v>
      </c>
      <c r="I107" s="52" t="s">
        <v>223</v>
      </c>
      <c r="J107" s="52" t="s">
        <v>224</v>
      </c>
    </row>
    <row r="108" spans="1:10" x14ac:dyDescent="0.35">
      <c r="A108" s="26" t="s">
        <v>277</v>
      </c>
      <c r="B108" s="27">
        <v>56</v>
      </c>
      <c r="C108" s="29" t="s">
        <v>346</v>
      </c>
      <c r="E108" s="49">
        <f t="shared" si="5"/>
        <v>137625</v>
      </c>
      <c r="F108" s="50">
        <v>37500</v>
      </c>
      <c r="G108" s="35" t="s">
        <v>362</v>
      </c>
      <c r="H108" s="72" t="s">
        <v>330</v>
      </c>
      <c r="I108" s="52" t="s">
        <v>223</v>
      </c>
      <c r="J108" s="52" t="s">
        <v>224</v>
      </c>
    </row>
    <row r="109" spans="1:10" x14ac:dyDescent="0.35">
      <c r="A109" s="26" t="s">
        <v>277</v>
      </c>
      <c r="B109" s="27">
        <v>57</v>
      </c>
      <c r="C109" s="29" t="s">
        <v>347</v>
      </c>
      <c r="E109" s="49">
        <f t="shared" si="5"/>
        <v>137625</v>
      </c>
      <c r="F109" s="50">
        <v>37500</v>
      </c>
      <c r="G109" s="35" t="s">
        <v>362</v>
      </c>
      <c r="H109" s="72" t="s">
        <v>330</v>
      </c>
      <c r="I109" s="52" t="s">
        <v>223</v>
      </c>
      <c r="J109" s="52" t="s">
        <v>224</v>
      </c>
    </row>
    <row r="110" spans="1:10" x14ac:dyDescent="0.35">
      <c r="A110" s="26" t="s">
        <v>277</v>
      </c>
      <c r="B110" s="27">
        <v>58</v>
      </c>
      <c r="C110" s="29" t="s">
        <v>348</v>
      </c>
      <c r="E110" s="49">
        <f t="shared" si="5"/>
        <v>137625</v>
      </c>
      <c r="F110" s="50">
        <v>37500</v>
      </c>
      <c r="G110" s="35" t="s">
        <v>362</v>
      </c>
      <c r="H110" s="72" t="s">
        <v>330</v>
      </c>
      <c r="I110" s="52" t="s">
        <v>223</v>
      </c>
      <c r="J110" s="52" t="s">
        <v>224</v>
      </c>
    </row>
    <row r="111" spans="1:10" x14ac:dyDescent="0.35">
      <c r="A111" s="26" t="s">
        <v>277</v>
      </c>
      <c r="B111" s="27">
        <v>59</v>
      </c>
      <c r="C111" s="29" t="s">
        <v>349</v>
      </c>
      <c r="E111" s="49">
        <f t="shared" si="5"/>
        <v>137625</v>
      </c>
      <c r="F111" s="50">
        <v>37500</v>
      </c>
      <c r="G111" s="35" t="s">
        <v>362</v>
      </c>
      <c r="H111" s="72" t="s">
        <v>330</v>
      </c>
      <c r="I111" s="52" t="s">
        <v>223</v>
      </c>
      <c r="J111" s="52" t="s">
        <v>224</v>
      </c>
    </row>
    <row r="112" spans="1:10" x14ac:dyDescent="0.35">
      <c r="A112" s="26" t="s">
        <v>277</v>
      </c>
      <c r="B112" s="27">
        <v>60</v>
      </c>
      <c r="C112" s="29" t="s">
        <v>350</v>
      </c>
      <c r="E112" s="49">
        <f t="shared" si="5"/>
        <v>137625</v>
      </c>
      <c r="F112" s="50">
        <v>37500</v>
      </c>
      <c r="G112" s="35" t="s">
        <v>362</v>
      </c>
      <c r="H112" s="72" t="s">
        <v>330</v>
      </c>
      <c r="I112" s="52" t="s">
        <v>223</v>
      </c>
      <c r="J112" s="52" t="s">
        <v>224</v>
      </c>
    </row>
    <row r="113" spans="1:10" x14ac:dyDescent="0.35">
      <c r="A113" s="26" t="s">
        <v>277</v>
      </c>
      <c r="B113" s="27">
        <v>61</v>
      </c>
      <c r="C113" s="29" t="s">
        <v>351</v>
      </c>
      <c r="E113" s="49">
        <f t="shared" si="5"/>
        <v>137625</v>
      </c>
      <c r="F113" s="50">
        <v>37500</v>
      </c>
      <c r="G113" s="35" t="s">
        <v>362</v>
      </c>
      <c r="H113" s="72" t="s">
        <v>330</v>
      </c>
      <c r="I113" s="52" t="s">
        <v>223</v>
      </c>
      <c r="J113" s="52" t="s">
        <v>224</v>
      </c>
    </row>
    <row r="114" spans="1:10" x14ac:dyDescent="0.35">
      <c r="A114" s="26" t="s">
        <v>277</v>
      </c>
      <c r="B114" s="27">
        <v>62</v>
      </c>
      <c r="C114" s="29" t="s">
        <v>352</v>
      </c>
      <c r="E114" s="49">
        <f t="shared" si="5"/>
        <v>137625</v>
      </c>
      <c r="F114" s="50">
        <v>37500</v>
      </c>
      <c r="G114" s="35" t="s">
        <v>362</v>
      </c>
      <c r="H114" s="72" t="s">
        <v>330</v>
      </c>
      <c r="I114" s="52" t="s">
        <v>223</v>
      </c>
      <c r="J114" s="52" t="s">
        <v>224</v>
      </c>
    </row>
    <row r="115" spans="1:10" x14ac:dyDescent="0.35">
      <c r="A115" s="26" t="s">
        <v>277</v>
      </c>
      <c r="B115" s="27">
        <v>63</v>
      </c>
      <c r="C115" s="29" t="s">
        <v>353</v>
      </c>
      <c r="E115" s="49">
        <f t="shared" si="5"/>
        <v>137625</v>
      </c>
      <c r="F115" s="50">
        <v>37500</v>
      </c>
      <c r="G115" s="35" t="s">
        <v>362</v>
      </c>
      <c r="H115" s="72" t="s">
        <v>330</v>
      </c>
      <c r="I115" s="52" t="s">
        <v>223</v>
      </c>
      <c r="J115" s="52" t="s">
        <v>224</v>
      </c>
    </row>
    <row r="116" spans="1:10" x14ac:dyDescent="0.35">
      <c r="A116" s="26" t="s">
        <v>277</v>
      </c>
      <c r="B116" s="27">
        <v>64</v>
      </c>
      <c r="C116" s="29" t="s">
        <v>354</v>
      </c>
      <c r="E116" s="49">
        <f t="shared" si="5"/>
        <v>192675</v>
      </c>
      <c r="F116" s="50">
        <v>52500</v>
      </c>
      <c r="G116" s="35" t="s">
        <v>362</v>
      </c>
      <c r="H116" s="55" t="s">
        <v>355</v>
      </c>
      <c r="I116" s="52" t="s">
        <v>223</v>
      </c>
      <c r="J116" s="52" t="s">
        <v>224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DEE6-332B-41BF-B368-3601B62AD7F8}">
  <dimension ref="A1:D6"/>
  <sheetViews>
    <sheetView zoomScale="115" zoomScaleNormal="115" workbookViewId="0">
      <selection activeCell="D4" activeCellId="1" sqref="C4 D4"/>
    </sheetView>
  </sheetViews>
  <sheetFormatPr defaultRowHeight="14.5" x14ac:dyDescent="0.35"/>
  <cols>
    <col min="1" max="1" width="13.453125" bestFit="1" customWidth="1"/>
    <col min="2" max="2" width="15.26953125" customWidth="1"/>
    <col min="3" max="3" width="11.81640625" bestFit="1" customWidth="1"/>
    <col min="4" max="4" width="6.7265625" customWidth="1"/>
  </cols>
  <sheetData>
    <row r="1" spans="1:4" x14ac:dyDescent="0.35">
      <c r="A1" t="s">
        <v>4</v>
      </c>
      <c r="B1" t="s">
        <v>356</v>
      </c>
      <c r="C1" t="s">
        <v>5</v>
      </c>
      <c r="D1" t="s">
        <v>356</v>
      </c>
    </row>
    <row r="2" spans="1:4" x14ac:dyDescent="0.35">
      <c r="A2" t="s">
        <v>357</v>
      </c>
      <c r="B2" t="e" vm="5">
        <v>#VALUE!</v>
      </c>
      <c r="C2" t="s">
        <v>358</v>
      </c>
      <c r="D2" t="e" vm="6">
        <v>#VALUE!</v>
      </c>
    </row>
    <row r="3" spans="1:4" x14ac:dyDescent="0.35">
      <c r="A3" t="s">
        <v>59</v>
      </c>
      <c r="B3" t="e" vm="7">
        <v>#VALUE!</v>
      </c>
      <c r="C3" t="s">
        <v>358</v>
      </c>
      <c r="D3" t="e" vm="6">
        <v>#VALUE!</v>
      </c>
    </row>
    <row r="4" spans="1:4" x14ac:dyDescent="0.35">
      <c r="A4" t="s">
        <v>62</v>
      </c>
      <c r="B4" t="e" vm="8">
        <v>#VALUE!</v>
      </c>
      <c r="C4" t="s">
        <v>359</v>
      </c>
      <c r="D4" t="e" vm="9">
        <v>#VALUE!</v>
      </c>
    </row>
    <row r="5" spans="1:4" x14ac:dyDescent="0.35">
      <c r="A5" t="s">
        <v>64</v>
      </c>
      <c r="B5" t="e" vm="10">
        <v>#VALUE!</v>
      </c>
    </row>
    <row r="6" spans="1:4" x14ac:dyDescent="0.35">
      <c r="A6" t="s">
        <v>68</v>
      </c>
      <c r="B6" t="e" vm="11">
        <v>#VALUE!</v>
      </c>
      <c r="C6" t="s">
        <v>68</v>
      </c>
      <c r="D6" t="e" vm="11">
        <v>#VALUE!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Master</vt:lpstr>
      <vt:lpstr>Projects TimeSheet</vt:lpstr>
      <vt:lpstr>Milestones</vt:lpstr>
      <vt:lpstr>PIC</vt:lpstr>
      <vt:lpstr>AK</vt:lpstr>
    </vt:vector>
  </TitlesOfParts>
  <Manager/>
  <Company>Oracle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Omar Hasan</dc:creator>
  <cp:keywords/>
  <dc:description/>
  <cp:lastModifiedBy>Omar Hefnawy (Contractor)</cp:lastModifiedBy>
  <cp:revision/>
  <dcterms:created xsi:type="dcterms:W3CDTF">2026-05-21T07:21:09Z</dcterms:created>
  <dcterms:modified xsi:type="dcterms:W3CDTF">2026-08-12T19:04:42Z</dcterms:modified>
  <cp:category/>
  <cp:contentStatus/>
</cp:coreProperties>
</file>